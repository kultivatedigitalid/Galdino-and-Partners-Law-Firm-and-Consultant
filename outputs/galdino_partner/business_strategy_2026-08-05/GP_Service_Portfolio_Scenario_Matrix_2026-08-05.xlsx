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5af238aa0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3fe96367474648e4"/>
    <x:sheet xmlns:r="http://schemas.openxmlformats.org/officeDocument/2006/relationships" name="Scoring Guide" sheetId="2" r:id="R708cebd07bc2420f"/>
    <x:sheet xmlns:r="http://schemas.openxmlformats.org/officeDocument/2006/relationships" name="Source Register" sheetId="3" r:id="R10d37d0ec6f54690"/>
    <x:sheet xmlns:r="http://schemas.openxmlformats.org/officeDocument/2006/relationships" name="Service Inventory" sheetId="4" r:id="R2100cec78e694eee"/>
    <x:sheet xmlns:r="http://schemas.openxmlformats.org/officeDocument/2006/relationships" name="Service Scoring" sheetId="5" r:id="Rfb754bcef72f4bb1"/>
    <x:sheet xmlns:r="http://schemas.openxmlformats.org/officeDocument/2006/relationships" name="Service Decisions" sheetId="6" r:id="R8a64105b98bf4905"/>
    <x:sheet xmlns:r="http://schemas.openxmlformats.org/officeDocument/2006/relationships" name="Permit Type Map" sheetId="7" r:id="Rd880c25691bc4e39"/>
    <x:sheet xmlns:r="http://schemas.openxmlformats.org/officeDocument/2006/relationships" name="Scenario Matrix" sheetId="8" r:id="R8d9ed382d17f4d42"/>
    <x:sheet xmlns:r="http://schemas.openxmlformats.org/officeDocument/2006/relationships" name="Scenario Details" sheetId="9" r:id="Rfc9e2ba6ab00461c"/>
    <x:sheet xmlns:r="http://schemas.openxmlformats.org/officeDocument/2006/relationships" name="Website IA" sheetId="10" r:id="R6c6de2dbf6f54367"/>
    <x:sheet xmlns:r="http://schemas.openxmlformats.org/officeDocument/2006/relationships" name="Content Strategy" sheetId="11" r:id="R5aeef629c1054270"/>
    <x:sheet xmlns:r="http://schemas.openxmlformats.org/officeDocument/2006/relationships" name="Conflicts" sheetId="12" r:id="R6f682038ac204592"/>
    <x:sheet xmlns:r="http://schemas.openxmlformats.org/officeDocument/2006/relationships" name="Risks &amp; Gaps" sheetId="13" r:id="R77b6449a050a4426"/>
    <x:sheet xmlns:r="http://schemas.openxmlformats.org/officeDocument/2006/relationships" name="Roadmap" sheetId="14" r:id="R63bdf86b6876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9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5E1320"/>
      <x:name val="Aptos"/>
    </x:font>
    <x:font>
      <x:sz val="9"/>
      <x:color rgb="FF202124"/>
      <x:name val="Aptos"/>
    </x:font>
    <x:font>
      <x:b/>
      <x:sz val="9"/>
      <x:color rgb="FFFFFFFF"/>
      <x:name val="Aptos"/>
    </x:font>
    <x:font>
      <x:sz val="10"/>
      <x:color rgb="FF202124"/>
      <x:name val="Aptos"/>
    </x:font>
    <x:font>
      <x:sz val="8"/>
      <x:color rgb="FF202124"/>
      <x:name val="Aptos"/>
    </x:font>
    <x:font>
      <x:b/>
      <x:sz val="9"/>
      <x:color rgb="FF202124"/>
      <x:name val="Aptos"/>
    </x:font>
    <x:font>
      <x:sz val="7"/>
      <x:color rgb="FF202124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5E1320"/>
      </x:patternFill>
    </x:fill>
    <x:fill>
      <x:patternFill patternType="solid">
        <x:fgColor rgb="FFF8EDEF"/>
      </x:patternFill>
    </x:fill>
    <x:fill>
      <x:patternFill patternType="solid">
        <x:fgColor rgb="FFFBF6EA"/>
      </x:patternFill>
    </x:fill>
    <x:fill>
      <x:patternFill patternType="solid">
        <x:fgColor rgb="FF8B1E2D"/>
      </x:patternFill>
    </x:fill>
    <x:fill>
      <x:patternFill patternType="solid">
        <x:fgColor rgb="FFEAF4EE"/>
      </x:patternFill>
    </x:fill>
    <x:fill>
      <x:patternFill patternType="solid">
        <x:fgColor rgb="FFE8EEF5"/>
      </x:patternFill>
    </x:fill>
    <x:fill>
      <x:patternFill patternType="solid">
        <x:fgColor rgb="FFFFF4D6"/>
      </x:patternFill>
    </x:fill>
    <x:fill>
      <x:patternFill patternType="solid">
        <x:fgColor rgb="FFDDEFE4"/>
      </x:patternFill>
    </x:fill>
    <x:fill>
      <x:patternFill patternType="solid">
        <x:fgColor rgb="FFF5DDE1"/>
      </x:patternFill>
    </x:fill>
  </x:fills>
  <x:borders count="12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0" xfId="0" applyNumberFormat="1" applyFont="1" applyFill="1" applyBorder="1" applyAlignment="1">
      <x:alignment vertical="top" wrapText="1"/>
    </x:xf>
    <x:xf numFmtId="200" fontId="6" fillId="8" borderId="5" xfId="0" applyNumberFormat="1" applyFont="1" applyFill="1" applyBorder="1" applyAlignment="1">
      <x:alignment vertical="top" wrapText="1"/>
    </x:xf>
    <x:xf numFmtId="200" fontId="6" fillId="8" borderId="0" xfId="0" applyNumberFormat="1" applyFont="1" applyFill="1" applyBorder="1" applyAlignment="1">
      <x:alignment vertical="top" wrapText="1"/>
    </x:xf>
    <x:xf numFmtId="200" fontId="6" fillId="8" borderId="10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8" borderId="2" xfId="0" applyNumberFormat="1" applyFont="1" applyFill="1" applyBorder="1" applyAlignment="1">
      <x:alignment vertical="top" wrapText="1"/>
    </x:xf>
    <x:xf numFmtId="200" fontId="6" fillId="8" borderId="3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6" fillId="10" borderId="10" xfId="0" applyNumberFormat="1" applyFont="1" applyFill="1" applyBorder="1" applyAlignment="1">
      <x:alignment vertical="top" wrapText="1"/>
    </x:xf>
    <x:xf numFmtId="0" fontId="7" fillId="10" borderId="1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10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8" fillId="8" borderId="10" xfId="0" applyNumberFormat="1" applyFont="1" applyFill="1" applyBorder="1" applyAlignment="1">
      <x:alignment horizontal="center" vertical="top" wrapText="1"/>
    </x:xf>
    <x:xf numFmtId="0" fontId="8" fillId="7" borderId="6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8" fillId="7" borderId="11" xfId="0" applyNumberFormat="1" applyFont="1" applyFill="1" applyBorder="1" applyAlignment="1">
      <x:alignment vertical="top" wrapText="1"/>
    </x:xf>
    <x:xf numFmtId="201" fontId="8" fillId="7" borderId="6" xfId="0" applyNumberFormat="1" applyFont="1" applyFill="1" applyBorder="1" applyAlignment="1">
      <x:alignment vertical="top" wrapText="1"/>
    </x:xf>
    <x:xf numFmtId="201" fontId="8" fillId="7" borderId="8" xfId="0" applyNumberFormat="1" applyFont="1" applyFill="1" applyBorder="1" applyAlignment="1">
      <x:alignment vertical="top" wrapText="1"/>
    </x:xf>
    <x:xf numFmtId="201" fontId="8" fillId="7" borderId="11" xfId="0" applyNumberFormat="1" applyFont="1" applyFill="1" applyBorder="1" applyAlignment="1">
      <x:alignment vertical="top" wrapText="1"/>
    </x:xf>
    <x:xf numFmtId="0" fontId="8" fillId="9" borderId="5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10" borderId="10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db2ea35b940a6" /><Relationship Type="http://schemas.openxmlformats.org/officeDocument/2006/relationships/theme" Target="/xl/theme/theme1.xml" Id="R6be471c819ed4345" /><Relationship Type="http://schemas.openxmlformats.org/officeDocument/2006/relationships/sharedStrings" Target="/xl/sharedStrings.xml" Id="Rb17c90386a7247c9" /><Relationship Type="http://schemas.openxmlformats.org/officeDocument/2006/relationships/worksheet" Target="/xl/worksheets/sheet1.xml" Id="R3fe96367474648e4" /><Relationship Type="http://schemas.openxmlformats.org/officeDocument/2006/relationships/worksheet" Target="/xl/worksheets/sheet2.xml" Id="R708cebd07bc2420f" /><Relationship Type="http://schemas.openxmlformats.org/officeDocument/2006/relationships/worksheet" Target="/xl/worksheets/sheet3.xml" Id="R10d37d0ec6f54690" /><Relationship Type="http://schemas.openxmlformats.org/officeDocument/2006/relationships/worksheet" Target="/xl/worksheets/sheet4.xml" Id="R2100cec78e694eee" /><Relationship Type="http://schemas.openxmlformats.org/officeDocument/2006/relationships/worksheet" Target="/xl/worksheets/sheet5.xml" Id="Rfb754bcef72f4bb1" /><Relationship Type="http://schemas.openxmlformats.org/officeDocument/2006/relationships/worksheet" Target="/xl/worksheets/sheet6.xml" Id="R8a64105b98bf4905" /><Relationship Type="http://schemas.openxmlformats.org/officeDocument/2006/relationships/worksheet" Target="/xl/worksheets/sheet7.xml" Id="Rd880c25691bc4e39" /><Relationship Type="http://schemas.openxmlformats.org/officeDocument/2006/relationships/worksheet" Target="/xl/worksheets/sheet8.xml" Id="R8d9ed382d17f4d42" /><Relationship Type="http://schemas.openxmlformats.org/officeDocument/2006/relationships/worksheet" Target="/xl/worksheets/sheet9.xml" Id="Rfc9e2ba6ab00461c" /><Relationship Type="http://schemas.openxmlformats.org/officeDocument/2006/relationships/worksheet" Target="/xl/worksheets/sheet10.xml" Id="R6c6de2dbf6f54367" /><Relationship Type="http://schemas.openxmlformats.org/officeDocument/2006/relationships/worksheet" Target="/xl/worksheets/sheet11.xml" Id="R5aeef629c1054270" /><Relationship Type="http://schemas.openxmlformats.org/officeDocument/2006/relationships/worksheet" Target="/xl/worksheets/sheet12.xml" Id="R6f682038ac204592" /><Relationship Type="http://schemas.openxmlformats.org/officeDocument/2006/relationships/worksheet" Target="/xl/worksheets/sheet13.xml" Id="R77b6449a050a4426" /><Relationship Type="http://schemas.openxmlformats.org/officeDocument/2006/relationships/worksheet" Target="/xl/worksheets/sheet14.xml" Id="R63bdf86b687648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0" hidden="0" customWidth="1"/>
    <x:col min="4" max="4" width="24" hidden="0" customWidth="1"/>
    <x:col min="5" max="5" width="24" hidden="0" customWidth="1"/>
    <x:col min="6" max="6" width="27" hidden="0" customWidth="1"/>
    <x:col min="7" max="7" width="27" hidden="0" customWidth="1"/>
    <x:col min="8" max="8" width="32" hidden="0" customWidth="1"/>
  </x:cols>
  <x:sheetData>
    <x:row r="1" ht="34" customHeight="1">
      <x:c r="A1" s="4" t="str">
        <x:v>Galdino &amp; Partner — Business &amp; Service Portfolio Decision Workbook</x:v>
      </x:c>
      <x:c r="B1" s="4" t="str">
        <x:v>Galdino &amp; Partner — Business &amp; Service Portfolio Decision Workbook</x:v>
      </x:c>
      <x:c r="C1" s="4" t="str">
        <x:v>Galdino &amp; Partner — Business &amp; Service Portfolio Decision Workbook</x:v>
      </x:c>
      <x:c r="D1" s="4" t="str">
        <x:v>Galdino &amp; Partner — Business &amp; Service Portfolio Decision Workbook</x:v>
      </x:c>
      <x:c r="E1" s="4" t="str">
        <x:v>Galdino &amp; Partner — Business &amp; Service Portfolio Decision Workbook</x:v>
      </x:c>
      <x:c r="F1" s="4" t="str">
        <x:v>Galdino &amp; Partner — Business &amp; Service Portfolio Decision Workbook</x:v>
      </x:c>
      <x:c r="G1" s="4" t="str">
        <x:v>Galdino &amp; Partner — Business &amp; Service Portfolio Decision Workbook</x:v>
      </x:c>
      <x:c r="H1" s="4" t="str">
        <x:v>Galdino &amp; Partner — Business &amp; Service Portfolio Decision Workbook</x:v>
      </x:c>
    </x:row>
    <x:row r="2" ht="28" customHeight="1">
      <x:c r="A2" s="7" t="str">
        <x:v>39 service families • 18 scenarios • qualitative scoring only • project-file evidence</x:v>
      </x:c>
      <x:c r="B2" s="7" t="str">
        <x:v>39 service families • 18 scenarios • qualitative scoring only • project-file evidence</x:v>
      </x:c>
      <x:c r="C2" s="7" t="str">
        <x:v>39 service families • 18 scenarios • qualitative scoring only • project-file evidence</x:v>
      </x:c>
      <x:c r="D2" s="7" t="str">
        <x:v>39 service families • 18 scenarios • qualitative scoring only • project-file evidence</x:v>
      </x:c>
      <x:c r="E2" s="7" t="str">
        <x:v>39 service families • 18 scenarios • qualitative scoring only • project-file evidence</x:v>
      </x:c>
      <x:c r="F2" s="7" t="str">
        <x:v>39 service families • 18 scenarios • qualitative scoring only • project-file evidence</x:v>
      </x:c>
      <x:c r="G2" s="7" t="str">
        <x:v>39 service families • 18 scenarios • qualitative scoring only • project-file evidence</x:v>
      </x:c>
      <x:c r="H2" s="7" t="str">
        <x:v>39 service families • 18 scenarios • qualitative scoring only • project-file evidence</x:v>
      </x:c>
    </x:row>
    <x:row r="3" ht="30" customHeight="1">
      <x:c r="A3" s="10" t="str">
        <x:v>Yellow cells are adjustable analytical inputs. No validated financial, demand-volume, case-hour, or numeric capacity data exists in project files.</x:v>
      </x:c>
      <x:c r="B3" s="10" t="str">
        <x:v>Yellow cells are adjustable analytical inputs. No validated financial, demand-volume, case-hour, or numeric capacity data exists in project files.</x:v>
      </x:c>
      <x:c r="C3" s="10" t="str">
        <x:v>Yellow cells are adjustable analytical inputs. No validated financial, demand-volume, case-hour, or numeric capacity data exists in project files.</x:v>
      </x:c>
      <x:c r="D3" s="10" t="str">
        <x:v>Yellow cells are adjustable analytical inputs. No validated financial, demand-volume, case-hour, or numeric capacity data exists in project files.</x:v>
      </x:c>
      <x:c r="E3" s="10" t="str">
        <x:v>Yellow cells are adjustable analytical inputs. No validated financial, demand-volume, case-hour, or numeric capacity data exists in project files.</x:v>
      </x:c>
      <x:c r="F3" s="10" t="str">
        <x:v>Yellow cells are adjustable analytical inputs. No validated financial, demand-volume, case-hour, or numeric capacity data exists in project files.</x:v>
      </x:c>
      <x:c r="G3" s="10" t="str">
        <x:v>Yellow cells are adjustable analytical inputs. No validated financial, demand-volume, case-hour, or numeric capacity data exists in project files.</x:v>
      </x:c>
      <x:c r="H3" s="10" t="str">
        <x:v>Yellow cells are adjustable analytical inputs. No validated financial, demand-volume, case-hour, or numeric capacity data exists in project files.</x:v>
      </x:c>
    </x:row>
    <x:row r="5" ht="34" customHeight="1">
      <x:c r="A5" s="22" t="str">
        <x:v>Decision</x:v>
      </x:c>
      <x:c r="B5" s="23" t="str">
        <x:v>Selected model</x:v>
      </x:c>
      <x:c r="C5" s="23" t="str">
        <x:v>Launch offers</x:v>
      </x:c>
      <x:c r="D5" s="23" t="str">
        <x:v>Owner design</x:v>
      </x:c>
      <x:c r="E5" s="23" t="str">
        <x:v>Launch team</x:v>
      </x:c>
      <x:c r="F5" s="23" t="str">
        <x:v>Website</x:v>
      </x:c>
      <x:c r="G5" s="23" t="str">
        <x:v>Primary risk</x:v>
      </x:c>
      <x:c r="H5" s="24" t="str">
        <x:v>Gate</x:v>
      </x:c>
    </x:row>
    <x:row r="6" ht="64" customHeight="1">
      <x:c r="A6" s="35" t="str">
        <x:v>RECOMMENDED</x:v>
      </x:c>
      <x:c r="B6" s="36" t="str">
        <x:v>K13 High-Ticket Boutique + K16 partner layer</x:v>
      </x:c>
      <x:c r="C6" s="36" t="str">
        <x:v>Readiness/Roadmap; Regulatory Care; selective Project PM</x:v>
      </x:c>
      <x:c r="D6" s="36" t="str">
        <x:v>2 hours/day steady state</x:v>
      </x:c>
      <x:c r="E6" s="36" t="str">
        <x:v>4-5 + validated partners</x:v>
      </x:c>
      <x:c r="F6" s="36" t="str">
        <x:v>11-13 realistic pages</x:v>
      </x:c>
      <x:c r="G6" s="36" t="str">
        <x:v>Unverified capability and sprawl</x:v>
      </x:c>
      <x:c r="H6" s="37" t="str">
        <x:v>Paid pilot + time study</x:v>
      </x:c>
    </x:row>
    <x:row r="8" ht="34" customHeight="1">
      <x:c r="A8" s="22" t="str">
        <x:v>Control</x:v>
      </x:c>
      <x:c r="B8" s="23" t="str">
        <x:v>Formula/value</x:v>
      </x:c>
      <x:c r="C8" s="23" t="str">
        <x:v>Interpretation</x:v>
      </x:c>
      <x:c r="D8" s="24" t="str">
        <x:v>Source</x:v>
      </x:c>
    </x:row>
    <x:row r="9">
      <x:c r="A9" s="56" t="str">
        <x:v>Grade A</x:v>
      </x:c>
      <x:c r="B9" s="65" t="n">
        <x:f>COUNTIF('Service Decisions'!$C$6:$C$44,"A")</x:f>
        <x:v>5</x:v>
      </x:c>
      <x:c r="C9" s="57" t="str">
        <x:v>Internal only</x:v>
      </x:c>
      <x:c r="D9" s="58" t="str">
        <x:v>Service Decisions</x:v>
      </x:c>
    </x:row>
    <x:row r="10">
      <x:c r="A10" s="59" t="str">
        <x:v>Grade B</x:v>
      </x:c>
      <x:c r="B10" s="66" t="n">
        <x:f>COUNTIF('Service Decisions'!$C$6:$C$44,"B")</x:f>
        <x:v>17</x:v>
      </x:c>
      <x:c r="C10" s="60" t="str">
        <x:v>Selective</x:v>
      </x:c>
      <x:c r="D10" s="61" t="str">
        <x:v>Service Decisions</x:v>
      </x:c>
    </x:row>
    <x:row r="11">
      <x:c r="A11" s="59" t="str">
        <x:v>Grade C</x:v>
      </x:c>
      <x:c r="B11" s="66" t="n">
        <x:f>COUNTIF('Service Decisions'!$C$6:$C$44,"C")</x:f>
        <x:v>17</x:v>
      </x:c>
      <x:c r="C11" s="60" t="str">
        <x:v>Conditional</x:v>
      </x:c>
      <x:c r="D11" s="61" t="str">
        <x:v>Service Decisions</x:v>
      </x:c>
    </x:row>
    <x:row r="12">
      <x:c r="A12" s="59" t="str">
        <x:v>Lean Launch</x:v>
      </x:c>
      <x:c r="B12" s="66" t="n">
        <x:f>COUNTIF('Service Decisions'!$D$6:$D$44,"Lean Launch")</x:f>
        <x:v>5</x:v>
      </x:c>
      <x:c r="C12" s="60" t="str">
        <x:v>Core families</x:v>
      </x:c>
      <x:c r="D12" s="61" t="str">
        <x:v>Service Decisions</x:v>
      </x:c>
    </x:row>
    <x:row r="13">
      <x:c r="A13" s="59" t="str">
        <x:v>Scenarios</x:v>
      </x:c>
      <x:c r="B13" s="66" t="n">
        <x:f>COUNTA('Scenario Matrix'!$A$6:$A$23)</x:f>
        <x:v>18</x:v>
      </x:c>
      <x:c r="C13" s="60" t="str">
        <x:v>Compared</x:v>
      </x:c>
      <x:c r="D13" s="61" t="str">
        <x:v>Scenario Matrix</x:v>
      </x:c>
    </x:row>
    <x:row r="14">
      <x:c r="A14" s="59" t="str">
        <x:v>Top score</x:v>
      </x:c>
      <x:c r="B14" s="66" t="n">
        <x:f>MAX('Scenario Matrix'!$W$6:$W$23)</x:f>
        <x:v>4.59</x:v>
      </x:c>
      <x:c r="C14" s="60" t="str">
        <x:v>Not approval</x:v>
      </x:c>
      <x:c r="D14" s="61" t="str">
        <x:v>Scenario Matrix</x:v>
      </x:c>
    </x:row>
    <x:row r="15">
      <x:c r="A15" s="62" t="str">
        <x:v>Numeric client cap</x:v>
      </x:c>
      <x:c r="B15" s="67" t="str">
        <x:v>NOT AVAILABLE</x:v>
      </x:c>
      <x:c r="C15" s="63" t="str">
        <x:v>Use stage-gated WIP</x:v>
      </x:c>
      <x:c r="D15" s="64" t="str">
        <x:v>Project files</x:v>
      </x:c>
    </x:row>
    <x:row r="17" ht="34" customHeight="1">
      <x:c r="A17" s="22" t="str">
        <x:v>Choice</x:v>
      </x:c>
      <x:c r="B17" s="23" t="str">
        <x:v>Safest</x:v>
      </x:c>
      <x:c r="C17" s="23" t="str">
        <x:v>Most potentially profitable</x:v>
      </x:c>
      <x:c r="D17" s="23" t="str">
        <x:v>Leanest</x:v>
      </x:c>
      <x:c r="E17" s="23" t="str">
        <x:v>Easiest</x:v>
      </x:c>
      <x:c r="F17" s="23" t="str">
        <x:v>SEO/portfolio</x:v>
      </x:c>
      <x:c r="G17" s="23" t="str">
        <x:v>Best balance</x:v>
      </x:c>
      <x:c r="H17" s="24" t="str">
        <x:v>Caveat</x:v>
      </x:c>
    </x:row>
    <x:row r="18">
      <x:c r="A18" s="74" t="str">
        <x:v>Scenario</x:v>
      </x:c>
      <x:c r="B18" s="75" t="str">
        <x:v>K01</x:v>
      </x:c>
      <x:c r="C18" s="75" t="str">
        <x:v>K14</x:v>
      </x:c>
      <x:c r="D18" s="75" t="str">
        <x:v>K15</x:v>
      </x:c>
      <x:c r="E18" s="75" t="str">
        <x:v>K03/K12</x:v>
      </x:c>
      <x:c r="F18" s="75" t="str">
        <x:v>K14 + K15</x:v>
      </x:c>
      <x:c r="G18" s="75" t="str">
        <x:v>K13</x:v>
      </x:c>
      <x:c r="H18" s="76" t="str">
        <x:v>Profit not quantified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13" hidden="0" customWidth="1"/>
    <x:col min="4" max="4" width="12" hidden="0" customWidth="1"/>
    <x:col min="5" max="5" width="4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4" customHeight="1">
      <x:c r="A1" s="4" t="str">
        <x:v>Scoring Guide &amp; Assumptions</x:v>
      </x:c>
      <x:c r="B1" s="4" t="str">
        <x:v>Scoring Guide &amp; Assumptions</x:v>
      </x:c>
      <x:c r="C1" s="4" t="str">
        <x:v>Scoring Guide &amp; Assumptions</x:v>
      </x:c>
      <x:c r="D1" s="4" t="str">
        <x:v>Scoring Guide &amp; Assumptions</x:v>
      </x:c>
      <x:c r="E1" s="4" t="str">
        <x:v>Scoring Guide &amp; Assumptions</x:v>
      </x:c>
      <x:c r="F1" s="4" t="str">
        <x:v>Scoring Guide &amp; Assumptions</x:v>
      </x:c>
      <x:c r="G1" s="4" t="str">
        <x:v>Scoring Guide &amp; Assumptions</x:v>
      </x:c>
      <x:c r="H1" s="4" t="str">
        <x:v>Scoring Guide &amp; Assumptions</x:v>
      </x:c>
      <x:c r="I1" s="4" t="str">
        <x:v>Scoring Guide &amp; Assumptions</x:v>
      </x:c>
      <x:c r="J1" s="4" t="str">
        <x:v>Scoring Guide &amp; Assumptions</x:v>
      </x:c>
      <x:c r="K1" s="4" t="str">
        <x:v>Scoring Guide &amp; Assumptions</x:v>
      </x:c>
      <x:c r="L1" s="4" t="str">
        <x:v>Scoring Guide &amp; Assumptions</x:v>
      </x:c>
      <x:c r="M1" s="4" t="str">
        <x:v>Scoring Guide &amp; Assumptions</x:v>
      </x:c>
      <x:c r="N1" s="4" t="str">
        <x:v>Scoring Guide &amp; Assumptions</x:v>
      </x:c>
      <x:c r="O1" s="4" t="str">
        <x:v>Scoring Guide &amp; Assumptions</x:v>
      </x:c>
      <x:c r="P1" s="4" t="str">
        <x:v>Scoring Guide &amp; Assumptions</x:v>
      </x:c>
      <x:c r="Q1" s="4" t="str">
        <x:v>Scoring Guide &amp; Assumptions</x:v>
      </x:c>
    </x:row>
    <x:row r="2" ht="28" customHeight="1">
      <x:c r="A2" s="7" t="str">
        <x:v>Service: positive 5 = attractive; negative 5 = heavy burden/risk. Scenario: 5 = favorable.</x:v>
      </x:c>
      <x:c r="B2" s="7" t="str">
        <x:v>Service: positive 5 = attractive; negative 5 = heavy burden/risk. Scenario: 5 = favorable.</x:v>
      </x:c>
      <x:c r="C2" s="7" t="str">
        <x:v>Service: positive 5 = attractive; negative 5 = heavy burden/risk. Scenario: 5 = favorable.</x:v>
      </x:c>
      <x:c r="D2" s="7" t="str">
        <x:v>Service: positive 5 = attractive; negative 5 = heavy burden/risk. Scenario: 5 = favorable.</x:v>
      </x:c>
      <x:c r="E2" s="7" t="str">
        <x:v>Service: positive 5 = attractive; negative 5 = heavy burden/risk. Scenario: 5 = favorable.</x:v>
      </x:c>
      <x:c r="F2" s="7" t="str">
        <x:v>Service: positive 5 = attractive; negative 5 = heavy burden/risk. Scenario: 5 = favorable.</x:v>
      </x:c>
      <x:c r="G2" s="7" t="str">
        <x:v>Service: positive 5 = attractive; negative 5 = heavy burden/risk. Scenario: 5 = favorable.</x:v>
      </x:c>
      <x:c r="H2" s="7" t="str">
        <x:v>Service: positive 5 = attractive; negative 5 = heavy burden/risk. Scenario: 5 = favorable.</x:v>
      </x:c>
      <x:c r="I2" s="7" t="str">
        <x:v>Service: positive 5 = attractive; negative 5 = heavy burden/risk. Scenario: 5 = favorable.</x:v>
      </x:c>
      <x:c r="J2" s="7" t="str">
        <x:v>Service: positive 5 = attractive; negative 5 = heavy burden/risk. Scenario: 5 = favorable.</x:v>
      </x:c>
      <x:c r="K2" s="7" t="str">
        <x:v>Service: positive 5 = attractive; negative 5 = heavy burden/risk. Scenario: 5 = favorable.</x:v>
      </x:c>
      <x:c r="L2" s="7" t="str">
        <x:v>Service: positive 5 = attractive; negative 5 = heavy burden/risk. Scenario: 5 = favorable.</x:v>
      </x:c>
      <x:c r="M2" s="7" t="str">
        <x:v>Service: positive 5 = attractive; negative 5 = heavy burden/risk. Scenario: 5 = favorable.</x:v>
      </x:c>
      <x:c r="N2" s="7" t="str">
        <x:v>Service: positive 5 = attractive; negative 5 = heavy burden/risk. Scenario: 5 = favorable.</x:v>
      </x:c>
      <x:c r="O2" s="7" t="str">
        <x:v>Service: positive 5 = attractive; negative 5 = heavy burden/risk. Scenario: 5 = favorable.</x:v>
      </x:c>
      <x:c r="P2" s="7" t="str">
        <x:v>Service: positive 5 = attractive; negative 5 = heavy burden/risk. Scenario: 5 = favorable.</x:v>
      </x:c>
      <x:c r="Q2" s="7" t="str">
        <x:v>Service: positive 5 = attractive; negative 5 = heavy burden/risk. Scenario: 5 = favorable.</x:v>
      </x:c>
    </x:row>
    <x:row r="3" ht="30" customHeight="1">
      <x:c r="A3" s="10" t="str">
        <x:v>Grade A/B/C also uses hard proof, scope, expertise, and operating gates.</x:v>
      </x:c>
      <x:c r="B3" s="10" t="str">
        <x:v>Grade A/B/C also uses hard proof, scope, expertise, and operating gates.</x:v>
      </x:c>
      <x:c r="C3" s="10" t="str">
        <x:v>Grade A/B/C also uses hard proof, scope, expertise, and operating gates.</x:v>
      </x:c>
      <x:c r="D3" s="10" t="str">
        <x:v>Grade A/B/C also uses hard proof, scope, expertise, and operating gates.</x:v>
      </x:c>
      <x:c r="E3" s="10" t="str">
        <x:v>Grade A/B/C also uses hard proof, scope, expertise, and operating gates.</x:v>
      </x:c>
      <x:c r="F3" s="10" t="str">
        <x:v>Grade A/B/C also uses hard proof, scope, expertise, and operating gates.</x:v>
      </x:c>
      <x:c r="G3" s="10" t="str">
        <x:v>Grade A/B/C also uses hard proof, scope, expertise, and operating gates.</x:v>
      </x:c>
      <x:c r="H3" s="10" t="str">
        <x:v>Grade A/B/C also uses hard proof, scope, expertise, and operating gates.</x:v>
      </x:c>
      <x:c r="I3" s="10" t="str">
        <x:v>Grade A/B/C also uses hard proof, scope, expertise, and operating gates.</x:v>
      </x:c>
      <x:c r="J3" s="10" t="str">
        <x:v>Grade A/B/C also uses hard proof, scope, expertise, and operating gates.</x:v>
      </x:c>
      <x:c r="K3" s="10" t="str">
        <x:v>Grade A/B/C also uses hard proof, scope, expertise, and operating gates.</x:v>
      </x:c>
      <x:c r="L3" s="10" t="str">
        <x:v>Grade A/B/C also uses hard proof, scope, expertise, and operating gates.</x:v>
      </x:c>
      <x:c r="M3" s="10" t="str">
        <x:v>Grade A/B/C also uses hard proof, scope, expertise, and operating gates.</x:v>
      </x:c>
      <x:c r="N3" s="10" t="str">
        <x:v>Grade A/B/C also uses hard proof, scope, expertise, and operating gates.</x:v>
      </x:c>
      <x:c r="O3" s="10" t="str">
        <x:v>Grade A/B/C also uses hard proof, scope, expertise, and operating gates.</x:v>
      </x:c>
      <x:c r="P3" s="10" t="str">
        <x:v>Grade A/B/C also uses hard proof, scope, expertise, and operating gates.</x:v>
      </x:c>
      <x:c r="Q3" s="10" t="str">
        <x:v>Grade A/B/C also uses hard proof, scope, expertise, and operating gates.</x:v>
      </x:c>
    </x:row>
    <x:row r="5" ht="34" customHeight="1">
      <x:c r="A5" s="22" t="str">
        <x:v>Key</x:v>
      </x:c>
      <x:c r="B5" s="23" t="str">
        <x:v>Service criterion</x:v>
      </x:c>
      <x:c r="C5" s="23" t="str">
        <x:v>Direction</x:v>
      </x:c>
      <x:c r="D5" s="23" t="str">
        <x:v>Weight</x:v>
      </x:c>
      <x:c r="E5" s="24" t="str">
        <x:v>Definition</x:v>
      </x:c>
    </x:row>
    <x:row r="6">
      <x:c r="A6" s="95" t="str">
        <x:v>transaction_value</x:v>
      </x:c>
      <x:c r="B6" s="96" t="str">
        <x:v>Nilai transaksi</x:v>
      </x:c>
      <x:c r="C6" s="96" t="str">
        <x:v>positive</x:v>
      </x:c>
      <x:c r="D6" s="107" t="n">
        <x:v>0.055</x:v>
      </x:c>
      <x:c r="E6" s="97" t="str">
        <x:v>1 low — 5 attractive</x:v>
      </x:c>
    </x:row>
    <x:row r="7">
      <x:c r="A7" s="98" t="str">
        <x:v>margin_potential</x:v>
      </x:c>
      <x:c r="B7" s="99" t="str">
        <x:v>Potensi margin</x:v>
      </x:c>
      <x:c r="C7" s="99" t="str">
        <x:v>positive</x:v>
      </x:c>
      <x:c r="D7" s="108" t="n">
        <x:v>0.05</x:v>
      </x:c>
      <x:c r="E7" s="100" t="str">
        <x:v>1 low — 5 attractive</x:v>
      </x:c>
    </x:row>
    <x:row r="8">
      <x:c r="A8" s="98" t="str">
        <x:v>market_demand</x:v>
      </x:c>
      <x:c r="B8" s="99" t="str">
        <x:v>Permintaan pasar</x:v>
      </x:c>
      <x:c r="C8" s="99" t="str">
        <x:v>positive</x:v>
      </x:c>
      <x:c r="D8" s="108" t="n">
        <x:v>0.045</x:v>
      </x:c>
      <x:c r="E8" s="100" t="str">
        <x:v>1 low — 5 attractive</x:v>
      </x:c>
    </x:row>
    <x:row r="9">
      <x:c r="A9" s="98" t="str">
        <x:v>ability_to_pay</x:v>
      </x:c>
      <x:c r="B9" s="99" t="str">
        <x:v>Kemampuan membayar</x:v>
      </x:c>
      <x:c r="C9" s="99" t="str">
        <x:v>positive</x:v>
      </x:c>
      <x:c r="D9" s="108" t="n">
        <x:v>0.045</x:v>
      </x:c>
      <x:c r="E9" s="100" t="str">
        <x:v>1 low — 5 attractive</x:v>
      </x:c>
    </x:row>
    <x:row r="10">
      <x:c r="A10" s="98" t="str">
        <x:v>competition_attractiveness</x:v>
      </x:c>
      <x:c r="B10" s="99" t="str">
        <x:v>Daya tarik persaingan</x:v>
      </x:c>
      <x:c r="C10" s="99" t="str">
        <x:v>positive</x:v>
      </x:c>
      <x:c r="D10" s="108" t="n">
        <x:v>0.04</x:v>
      </x:c>
      <x:c r="E10" s="100" t="str">
        <x:v>1 low — 5 attractive</x:v>
      </x:c>
    </x:row>
    <x:row r="11">
      <x:c r="A11" s="98" t="str">
        <x:v>urgency</x:v>
      </x:c>
      <x:c r="B11" s="99" t="str">
        <x:v>Urgensi</x:v>
      </x:c>
      <x:c r="C11" s="99" t="str">
        <x:v>positive</x:v>
      </x:c>
      <x:c r="D11" s="108" t="n">
        <x:v>0.045</x:v>
      </x:c>
      <x:c r="E11" s="100" t="str">
        <x:v>1 low — 5 attractive</x:v>
      </x:c>
    </x:row>
    <x:row r="12">
      <x:c r="A12" s="98" t="str">
        <x:v>complexity</x:v>
      </x:c>
      <x:c r="B12" s="99" t="str">
        <x:v>Kompleksitas</x:v>
      </x:c>
      <x:c r="C12" s="99" t="str">
        <x:v>negative</x:v>
      </x:c>
      <x:c r="D12" s="108" t="n">
        <x:v>0.025</x:v>
      </x:c>
      <x:c r="E12" s="100" t="str">
        <x:v>1 low — 5 heavy; reversed</x:v>
      </x:c>
    </x:row>
    <x:row r="13">
      <x:c r="A13" s="98" t="str">
        <x:v>process_length</x:v>
      </x:c>
      <x:c r="B13" s="99" t="str">
        <x:v>Lama proses</x:v>
      </x:c>
      <x:c r="C13" s="99" t="str">
        <x:v>negative</x:v>
      </x:c>
      <x:c r="D13" s="108" t="n">
        <x:v>0.02</x:v>
      </x:c>
      <x:c r="E13" s="100" t="str">
        <x:v>1 low — 5 heavy; reversed</x:v>
      </x:c>
    </x:row>
    <x:row r="14">
      <x:c r="A14" s="98" t="str">
        <x:v>external_dependency</x:v>
      </x:c>
      <x:c r="B14" s="99" t="str">
        <x:v>Ketergantungan eksternal</x:v>
      </x:c>
      <x:c r="C14" s="99" t="str">
        <x:v>negative</x:v>
      </x:c>
      <x:c r="D14" s="108" t="n">
        <x:v>0.025</x:v>
      </x:c>
      <x:c r="E14" s="100" t="str">
        <x:v>1 low — 5 heavy; reversed</x:v>
      </x:c>
    </x:row>
    <x:row r="15">
      <x:c r="A15" s="98" t="str">
        <x:v>regulatory_change_risk</x:v>
      </x:c>
      <x:c r="B15" s="99" t="str">
        <x:v>Risiko perubahan regulasi</x:v>
      </x:c>
      <x:c r="C15" s="99" t="str">
        <x:v>negative</x:v>
      </x:c>
      <x:c r="D15" s="108" t="n">
        <x:v>0.025</x:v>
      </x:c>
      <x:c r="E15" s="100" t="str">
        <x:v>1 low — 5 heavy; reversed</x:v>
      </x:c>
    </x:row>
    <x:row r="16">
      <x:c r="A16" s="98" t="str">
        <x:v>delay_risk</x:v>
      </x:c>
      <x:c r="B16" s="99" t="str">
        <x:v>Risiko keterlambatan</x:v>
      </x:c>
      <x:c r="C16" s="99" t="str">
        <x:v>negative</x:v>
      </x:c>
      <x:c r="D16" s="108" t="n">
        <x:v>0.025</x:v>
      </x:c>
      <x:c r="E16" s="100" t="str">
        <x:v>1 low — 5 heavy; reversed</x:v>
      </x:c>
    </x:row>
    <x:row r="17">
      <x:c r="A17" s="98" t="str">
        <x:v>complaint_risk</x:v>
      </x:c>
      <x:c r="B17" s="99" t="str">
        <x:v>Risiko komplain</x:v>
      </x:c>
      <x:c r="C17" s="99" t="str">
        <x:v>negative</x:v>
      </x:c>
      <x:c r="D17" s="108" t="n">
        <x:v>0.02</x:v>
      </x:c>
      <x:c r="E17" s="100" t="str">
        <x:v>1 low — 5 heavy; reversed</x:v>
      </x:c>
    </x:row>
    <x:row r="18">
      <x:c r="A18" s="98" t="str">
        <x:v>reputation_risk</x:v>
      </x:c>
      <x:c r="B18" s="99" t="str">
        <x:v>Risiko reputasi</x:v>
      </x:c>
      <x:c r="C18" s="99" t="str">
        <x:v>negative</x:v>
      </x:c>
      <x:c r="D18" s="108" t="n">
        <x:v>0.02</x:v>
      </x:c>
      <x:c r="E18" s="100" t="str">
        <x:v>1 low — 5 heavy; reversed</x:v>
      </x:c>
    </x:row>
    <x:row r="19">
      <x:c r="A19" s="98" t="str">
        <x:v>expert_need</x:v>
      </x:c>
      <x:c r="B19" s="99" t="str">
        <x:v>Kebutuhan ahli</x:v>
      </x:c>
      <x:c r="C19" s="99" t="str">
        <x:v>negative</x:v>
      </x:c>
      <x:c r="D19" s="108" t="n">
        <x:v>0.02</x:v>
      </x:c>
      <x:c r="E19" s="100" t="str">
        <x:v>1 low — 5 heavy; reversed</x:v>
      </x:c>
    </x:row>
    <x:row r="20">
      <x:c r="A20" s="98" t="str">
        <x:v>field_visit_need</x:v>
      </x:c>
      <x:c r="B20" s="99" t="str">
        <x:v>Kebutuhan lapangan</x:v>
      </x:c>
      <x:c r="C20" s="99" t="str">
        <x:v>negative</x:v>
      </x:c>
      <x:c r="D20" s="108" t="n">
        <x:v>0.01</x:v>
      </x:c>
      <x:c r="E20" s="100" t="str">
        <x:v>1 low — 5 heavy; reversed</x:v>
      </x:c>
    </x:row>
    <x:row r="21">
      <x:c r="A21" s="98" t="str">
        <x:v>communication_intensity</x:v>
      </x:c>
      <x:c r="B21" s="99" t="str">
        <x:v>Intensitas komunikasi</x:v>
      </x:c>
      <x:c r="C21" s="99" t="str">
        <x:v>negative</x:v>
      </x:c>
      <x:c r="D21" s="108" t="n">
        <x:v>0.02</x:v>
      </x:c>
      <x:c r="E21" s="100" t="str">
        <x:v>1 low — 5 heavy; reversed</x:v>
      </x:c>
    </x:row>
    <x:row r="22">
      <x:c r="A22" s="98" t="str">
        <x:v>sop_ease</x:v>
      </x:c>
      <x:c r="B22" s="99" t="str">
        <x:v>Kemudahan SOP</x:v>
      </x:c>
      <x:c r="C22" s="99" t="str">
        <x:v>positive</x:v>
      </x:c>
      <x:c r="D22" s="108" t="n">
        <x:v>0.045</x:v>
      </x:c>
      <x:c r="E22" s="100" t="str">
        <x:v>1 low — 5 attractive</x:v>
      </x:c>
    </x:row>
    <x:row r="23">
      <x:c r="A23" s="98" t="str">
        <x:v>delegation_ease</x:v>
      </x:c>
      <x:c r="B23" s="99" t="str">
        <x:v>Kemudahan delegasi</x:v>
      </x:c>
      <x:c r="C23" s="99" t="str">
        <x:v>positive</x:v>
      </x:c>
      <x:c r="D23" s="108" t="n">
        <x:v>0.04</x:v>
      </x:c>
      <x:c r="E23" s="100" t="str">
        <x:v>1 low — 5 attractive</x:v>
      </x:c>
    </x:row>
    <x:row r="24">
      <x:c r="A24" s="98" t="str">
        <x:v>automation_potential</x:v>
      </x:c>
      <x:c r="B24" s="99" t="str">
        <x:v>Potensi automasi</x:v>
      </x:c>
      <x:c r="C24" s="99" t="str">
        <x:v>positive</x:v>
      </x:c>
      <x:c r="D24" s="108" t="n">
        <x:v>0.035</x:v>
      </x:c>
      <x:c r="E24" s="100" t="str">
        <x:v>1 low — 5 attractive</x:v>
      </x:c>
    </x:row>
    <x:row r="25">
      <x:c r="A25" s="98" t="str">
        <x:v>partner_potential</x:v>
      </x:c>
      <x:c r="B25" s="99" t="str">
        <x:v>Potensi mitra</x:v>
      </x:c>
      <x:c r="C25" s="99" t="str">
        <x:v>positive</x:v>
      </x:c>
      <x:c r="D25" s="108" t="n">
        <x:v>0.025</x:v>
      </x:c>
      <x:c r="E25" s="100" t="str">
        <x:v>1 low — 5 attractive</x:v>
      </x:c>
    </x:row>
    <x:row r="26">
      <x:c r="A26" s="98" t="str">
        <x:v>repeat_potential</x:v>
      </x:c>
      <x:c r="B26" s="99" t="str">
        <x:v>Potensi repeat</x:v>
      </x:c>
      <x:c r="C26" s="99" t="str">
        <x:v>positive</x:v>
      </x:c>
      <x:c r="D26" s="108" t="n">
        <x:v>0.04</x:v>
      </x:c>
      <x:c r="E26" s="100" t="str">
        <x:v>1 low — 5 attractive</x:v>
      </x:c>
    </x:row>
    <x:row r="27">
      <x:c r="A27" s="98" t="str">
        <x:v>cross_sell_potential</x:v>
      </x:c>
      <x:c r="B27" s="99" t="str">
        <x:v>Potensi cross-sell</x:v>
      </x:c>
      <x:c r="C27" s="99" t="str">
        <x:v>positive</x:v>
      </x:c>
      <x:c r="D27" s="108" t="n">
        <x:v>0.035</x:v>
      </x:c>
      <x:c r="E27" s="100" t="str">
        <x:v>1 low — 5 attractive</x:v>
      </x:c>
    </x:row>
    <x:row r="28">
      <x:c r="A28" s="98" t="str">
        <x:v>seo_potential</x:v>
      </x:c>
      <x:c r="B28" s="99" t="str">
        <x:v>Potensi SEO</x:v>
      </x:c>
      <x:c r="C28" s="99" t="str">
        <x:v>positive</x:v>
      </x:c>
      <x:c r="D28" s="108" t="n">
        <x:v>0.025</x:v>
      </x:c>
      <x:c r="E28" s="100" t="str">
        <x:v>1 low — 5 attractive</x:v>
      </x:c>
    </x:row>
    <x:row r="29">
      <x:c r="A29" s="98" t="str">
        <x:v>article_potential</x:v>
      </x:c>
      <x:c r="B29" s="99" t="str">
        <x:v>Potensi artikel</x:v>
      </x:c>
      <x:c r="C29" s="99" t="str">
        <x:v>positive</x:v>
      </x:c>
      <x:c r="D29" s="108" t="n">
        <x:v>0.02</x:v>
      </x:c>
      <x:c r="E29" s="100" t="str">
        <x:v>1 low — 5 attractive</x:v>
      </x:c>
    </x:row>
    <x:row r="30">
      <x:c r="A30" s="98" t="str">
        <x:v>youtube_potential</x:v>
      </x:c>
      <x:c r="B30" s="99" t="str">
        <x:v>Potensi YouTube</x:v>
      </x:c>
      <x:c r="C30" s="99" t="str">
        <x:v>positive</x:v>
      </x:c>
      <x:c r="D30" s="108" t="n">
        <x:v>0.015</x:v>
      </x:c>
      <x:c r="E30" s="100" t="str">
        <x:v>1 low — 5 attractive</x:v>
      </x:c>
    </x:row>
    <x:row r="31">
      <x:c r="A31" s="98" t="str">
        <x:v>social_potential</x:v>
      </x:c>
      <x:c r="B31" s="99" t="str">
        <x:v>Potensi social</x:v>
      </x:c>
      <x:c r="C31" s="99" t="str">
        <x:v>positive</x:v>
      </x:c>
      <x:c r="D31" s="108" t="n">
        <x:v>0.01</x:v>
      </x:c>
      <x:c r="E31" s="100" t="str">
        <x:v>1 low — 5 attractive</x:v>
      </x:c>
    </x:row>
    <x:row r="32">
      <x:c r="A32" s="98" t="str">
        <x:v>content_maintenance</x:v>
      </x:c>
      <x:c r="B32" s="99" t="str">
        <x:v>Beban maintenance konten</x:v>
      </x:c>
      <x:c r="C32" s="99" t="str">
        <x:v>negative</x:v>
      </x:c>
      <x:c r="D32" s="108" t="n">
        <x:v>0.02</x:v>
      </x:c>
      <x:c r="E32" s="100" t="str">
        <x:v>1 low — 5 heavy; reversed</x:v>
      </x:c>
    </x:row>
    <x:row r="33">
      <x:c r="A33" s="98" t="str">
        <x:v>small_team_fit</x:v>
      </x:c>
      <x:c r="B33" s="99" t="str">
        <x:v>Kesesuaian tim kecil</x:v>
      </x:c>
      <x:c r="C33" s="99" t="str">
        <x:v>positive</x:v>
      </x:c>
      <x:c r="D33" s="108" t="n">
        <x:v>0.05</x:v>
      </x:c>
      <x:c r="E33" s="100" t="str">
        <x:v>1 low — 5 attractive</x:v>
      </x:c>
    </x:row>
    <x:row r="34">
      <x:c r="A34" s="98" t="str">
        <x:v>owner_involvement</x:v>
      </x:c>
      <x:c r="B34" s="99" t="str">
        <x:v>Kebutuhan pemilik</x:v>
      </x:c>
      <x:c r="C34" s="99" t="str">
        <x:v>negative</x:v>
      </x:c>
      <x:c r="D34" s="108" t="n">
        <x:v>0.045</x:v>
      </x:c>
      <x:c r="E34" s="100" t="str">
        <x:v>1 low — 5 heavy; reversed</x:v>
      </x:c>
    </x:row>
    <x:row r="35">
      <x:c r="A35" s="101" t="str">
        <x:v>positioning_fit</x:v>
      </x:c>
      <x:c r="B35" s="102" t="str">
        <x:v>Kesesuaian positioning</x:v>
      </x:c>
      <x:c r="C35" s="102" t="str">
        <x:v>positive</x:v>
      </x:c>
      <x:c r="D35" s="109" t="n">
        <x:v>0.055</x:v>
      </x:c>
      <x:c r="E35" s="103" t="str">
        <x:v>1 low — 5 attractive</x:v>
      </x:c>
    </x:row>
    <x:row r="37" ht="34" customHeight="1">
      <x:c r="A37" s="22" t="str">
        <x:v>Grade</x:v>
      </x:c>
      <x:c r="B37" s="23" t="str">
        <x:v>Meaning</x:v>
      </x:c>
      <x:c r="C37" s="23" t="str">
        <x:v>Decision</x:v>
      </x:c>
      <x:c r="D37" s="23" t="str">
        <x:v>Hard gate</x:v>
      </x:c>
      <x:c r="E37" s="24" t="str">
        <x:v>Legal class?</x:v>
      </x:c>
    </x:row>
    <x:row r="38">
      <x:c r="A38" s="111" t="str">
        <x:v>A</x:v>
      </x:c>
      <x:c r="B38" s="57" t="str">
        <x:v>Core High-Ticket</x:v>
      </x:c>
      <x:c r="C38" s="57" t="str">
        <x:v>Lean Launch</x:v>
      </x:c>
      <x:c r="D38" s="57" t="str">
        <x:v>Scope/SOP/reviewer/proof</x:v>
      </x:c>
      <x:c r="E38" s="58" t="str">
        <x:v>No</x:v>
      </x:c>
    </x:row>
    <x:row r="39">
      <x:c r="A39" s="113" t="str">
        <x:v>B</x:v>
      </x:c>
      <x:c r="B39" s="60" t="str">
        <x:v>Selective Growth</x:v>
      </x:c>
      <x:c r="C39" s="60" t="str">
        <x:v>Pilot/partner</x:v>
      </x:c>
      <x:c r="D39" s="60" t="str">
        <x:v>One vertical + governance</x:v>
      </x:c>
      <x:c r="E39" s="61" t="str">
        <x:v>No</x:v>
      </x:c>
    </x:row>
    <x:row r="40">
      <x:c r="A40" s="115" t="str">
        <x:v>C</x:v>
      </x:c>
      <x:c r="B40" s="63" t="str">
        <x:v>Conditional/Low Priority</x:v>
      </x:c>
      <x:c r="C40" s="63" t="str">
        <x:v>Partner/defer/eliminate</x:v>
      </x:c>
      <x:c r="D40" s="63" t="str">
        <x:v>Capability/economics</x:v>
      </x:c>
      <x:c r="E40" s="64" t="str">
        <x:v>No</x:v>
      </x:c>
    </x:row>
    <x:row r="42" ht="34" customHeight="1">
      <x:c r="A42" s="22" t="str">
        <x:v>Scenario weight</x:v>
      </x:c>
      <x:c r="B42" s="23" t="str">
        <x:v>Potensi pendapatan</x:v>
      </x:c>
      <x:c r="C42" s="23" t="str">
        <x:v>Potensi margin</x:v>
      </x:c>
      <x:c r="D42" s="23" t="str">
        <x:v>Kesesuaian waktu pemilik</x:v>
      </x:c>
      <x:c r="E42" s="23" t="str">
        <x:v>Kompleksitas rendah</x:v>
      </x:c>
      <x:c r="F42" s="23" t="str">
        <x:v>Risiko rendah</x:v>
      </x:c>
      <x:c r="G42" s="23" t="str">
        <x:v>Kemudahan SOP</x:v>
      </x:c>
      <x:c r="H42" s="23" t="str">
        <x:v>Kemudahan delegasi</x:v>
      </x:c>
      <x:c r="I42" s="23" t="str">
        <x:v>Potensi automasi</x:v>
      </x:c>
      <x:c r="J42" s="23" t="str">
        <x:v>Ketergantungan mitra rendah</x:v>
      </x:c>
      <x:c r="K42" s="23" t="str">
        <x:v>Potensi repeat</x:v>
      </x:c>
      <x:c r="L42" s="23" t="str">
        <x:v>Potensi SEO</x:v>
      </x:c>
      <x:c r="M42" s="23" t="str">
        <x:v>Beban konten rendah</x:v>
      </x:c>
      <x:c r="N42" s="23" t="str">
        <x:v>Beban maintenance rendah</x:v>
      </x:c>
      <x:c r="O42" s="23" t="str">
        <x:v>Kecepatan implementasi</x:v>
      </x:c>
      <x:c r="P42" s="23" t="str">
        <x:v>Kesesuaian core agency</x:v>
      </x:c>
      <x:c r="Q42" s="24" t="str">
        <x:v>Skalabilitas</x:v>
      </x:c>
    </x:row>
    <x:row r="43">
      <x:c r="A43" s="122" t="str">
        <x:v>Weight</x:v>
      </x:c>
      <x:c r="B43" s="127" t="n">
        <x:v>0.1</x:v>
      </x:c>
      <x:c r="C43" s="127" t="n">
        <x:v>0.09</x:v>
      </x:c>
      <x:c r="D43" s="127" t="n">
        <x:v>0.1</x:v>
      </x:c>
      <x:c r="E43" s="127" t="n">
        <x:v>0.06</x:v>
      </x:c>
      <x:c r="F43" s="127" t="n">
        <x:v>0.07</x:v>
      </x:c>
      <x:c r="G43" s="127" t="n">
        <x:v>0.07</x:v>
      </x:c>
      <x:c r="H43" s="127" t="n">
        <x:v>0.07</x:v>
      </x:c>
      <x:c r="I43" s="127" t="n">
        <x:v>0.05</x:v>
      </x:c>
      <x:c r="J43" s="127" t="n">
        <x:v>0.03</x:v>
      </x:c>
      <x:c r="K43" s="127" t="n">
        <x:v>0.06</x:v>
      </x:c>
      <x:c r="L43" s="127" t="n">
        <x:v>0.05</x:v>
      </x:c>
      <x:c r="M43" s="127" t="n">
        <x:v>0.04</x:v>
      </x:c>
      <x:c r="N43" s="127" t="n">
        <x:v>0.04</x:v>
      </x:c>
      <x:c r="O43" s="127" t="n">
        <x:v>0.05</x:v>
      </x:c>
      <x:c r="P43" s="127" t="n">
        <x:v>0.07</x:v>
      </x:c>
      <x:c r="Q43" s="128" t="n">
        <x:v>0.05</x:v>
      </x:c>
    </x:row>
  </x:sheetData>
  <x:mergeCells>
    <x:mergeCell ref="A1:Q1"/>
    <x:mergeCell ref="A2:Q2"/>
    <x:mergeCell ref="A3:Q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58" hidden="0" customWidth="1"/>
    <x:col min="4" max="4" width="40" hidden="0" customWidth="1"/>
    <x:col min="5" max="5" width="58" hidden="0" customWidth="1"/>
  </x:cols>
  <x:sheetData>
    <x:row r="1" ht="34" customHeight="1">
      <x:c r="A1" s="4" t="str">
        <x:v>Project Source Register</x:v>
      </x:c>
      <x:c r="B1" s="4" t="str">
        <x:v>Project Source Register</x:v>
      </x:c>
      <x:c r="C1" s="4" t="str">
        <x:v>Project Source Register</x:v>
      </x:c>
      <x:c r="D1" s="4" t="str">
        <x:v>Project Source Register</x:v>
      </x:c>
      <x:c r="E1" s="4" t="str">
        <x:v>Project Source Register</x:v>
      </x:c>
    </x:row>
    <x:row r="2" ht="28" customHeight="1">
      <x:c r="A2" s="7" t="str">
        <x:v>Only project files are fact sources.</x:v>
      </x:c>
      <x:c r="B2" s="7" t="str">
        <x:v>Only project files are fact sources.</x:v>
      </x:c>
      <x:c r="C2" s="7" t="str">
        <x:v>Only project files are fact sources.</x:v>
      </x:c>
      <x:c r="D2" s="7" t="str">
        <x:v>Only project files are fact sources.</x:v>
      </x:c>
      <x:c r="E2" s="7" t="str">
        <x:v>Only project files are fact sources.</x:v>
      </x:c>
    </x:row>
    <x:row r="3" ht="30" customHeight="1">
      <x:c r="A3" s="10" t="str">
        <x:v>Source IDs are used across both deliverables.</x:v>
      </x:c>
      <x:c r="B3" s="10" t="str">
        <x:v>Source IDs are used across both deliverables.</x:v>
      </x:c>
      <x:c r="C3" s="10" t="str">
        <x:v>Source IDs are used across both deliverables.</x:v>
      </x:c>
      <x:c r="D3" s="10" t="str">
        <x:v>Source IDs are used across both deliverables.</x:v>
      </x:c>
      <x:c r="E3" s="10" t="str">
        <x:v>Source IDs are used across both deliverables.</x:v>
      </x:c>
    </x:row>
    <x:row r="5" ht="34" customHeight="1">
      <x:c r="A5" s="22" t="str">
        <x:v>ID</x:v>
      </x:c>
      <x:c r="B5" s="23" t="str">
        <x:v>Tier</x:v>
      </x:c>
      <x:c r="C5" s="23" t="str">
        <x:v>Project-relative file</x:v>
      </x:c>
      <x:c r="D5" s="23" t="str">
        <x:v>Locator</x:v>
      </x:c>
      <x:c r="E5" s="24" t="str">
        <x:v>Use</x:v>
      </x:c>
    </x:row>
    <x:row r="6" ht="48" customHeight="1">
      <x:c r="A6" s="95" t="str">
        <x:v>S01</x:v>
      </x:c>
      <x:c r="B6" s="96" t="str">
        <x:v>Current decision</x:v>
      </x:c>
      <x:c r="C6" s="96" t="str">
        <x:v>alignment_2026-08-05\GP_Change_Decision_Log_2026-08-05.xlsx</x:v>
      </x:c>
      <x:c r="D6" s="96" t="str">
        <x:v>Decision Log rows 5-15; Change Log rows 5-24</x:v>
      </x:c>
      <x:c r="E6" s="97" t="str">
        <x:v>Keputusan legal entity, kontak, dummy, artikel, domain, form, descriptor, dan Resend.</x:v>
      </x:c>
    </x:row>
    <x:row r="7" ht="48" customHeight="1">
      <x:c r="A7" s="98" t="str">
        <x:v>S02</x:v>
      </x:c>
      <x:c r="B7" s="99" t="str">
        <x:v>Aligned Fase 1</x:v>
      </x:c>
      <x:c r="C7" s="99" t="str">
        <x:v>alignment_2026-08-05\GP_Fase1_Discovery_Aligned_2026-08-05.docx</x:v>
      </x:c>
      <x:c r="D7" s="99" t="str">
        <x:v>Tables 8, 14-17, 19, 21, 23, 25, 27, 31, 34, 36, 38-45, 50-60, 71, 74-108</x:v>
      </x:c>
      <x:c r="E7" s="100" t="str">
        <x:v>Fakta discovery, model pendapatan, target, positioning, batas klaim, inquiry, SEO, dan missing proof.</x:v>
      </x:c>
    </x:row>
    <x:row r="8" ht="48" customHeight="1">
      <x:c r="A8" s="98" t="str">
        <x:v>S03</x:v>
      </x:c>
      <x:c r="B8" s="99" t="str">
        <x:v>Aligned Fase 2</x:v>
      </x:c>
      <x:c r="C8" s="99" t="str">
        <x:v>alignment_2026-08-05\GP_Fase2_Website_Brand_Blueprint_Aligned_2026-08-05.docx</x:v>
      </x:c>
      <x:c r="D8" s="99" t="str">
        <x:v>Paras 17, 46-50; Tables 5, 7-11, 17, 20-21</x:v>
      </x:c>
      <x:c r="E8" s="100" t="str">
        <x:v>Permit-first positioning, empat kategori, target users, promise, backlog, dan launch gate.</x:v>
      </x:c>
    </x:row>
    <x:row r="9" ht="48" customHeight="1">
      <x:c r="A9" s="98" t="str">
        <x:v>S04</x:v>
      </x:c>
      <x:c r="B9" s="99" t="str">
        <x:v>Alignment report</x:v>
      </x:c>
      <x:c r="C9" s="99" t="str">
        <x:v>alignment_2026-08-05\GP_Master_Alignment_Report_2026-08-05.docx</x:v>
      </x:c>
      <x:c r="D9" s="99" t="str">
        <x:v>Website Inventory; Conflict Summary; Launch Gates</x:v>
      </x:c>
      <x:c r="E9" s="100" t="str">
        <x:v>Kondisi aktual website, 24 localized URLs, page types, form, dan fitur yang belum ada.</x:v>
      </x:c>
    </x:row>
    <x:row r="10" ht="48" customHeight="1">
      <x:c r="A10" s="98" t="str">
        <x:v>S05</x:v>
      </x:c>
      <x:c r="B10" s="99" t="str">
        <x:v>Aligned inventory</x:v>
      </x:c>
      <x:c r="C10" s="99" t="str">
        <x:v>alignment_2026-08-05\GP_Fase2_Inventarisasi_Informasi_Website_Aligned_2026-08-05.xlsx</x:v>
      </x:c>
      <x:c r="D10" s="99" t="str">
        <x:v>Master Inventory I-022-I-062; W-007-W-008</x:v>
      </x:c>
      <x:c r="E10" s="100" t="str">
        <x:v>Inventaris bisnis, kategori, sublayanan, proses, dan status prototype.</x:v>
      </x:c>
    </x:row>
    <x:row r="11" ht="48" customHeight="1">
      <x:c r="A11" s="98" t="str">
        <x:v>S06</x:v>
      </x:c>
      <x:c r="B11" s="99" t="str">
        <x:v>Aligned gaps</x:v>
      </x:c>
      <x:c r="C11" s="99" t="str">
        <x:v>alignment_2026-08-05\GP_Fase2_Daftar_Informasi_Belum_Tersedia_Aligned_2026-08-05.xlsx</x:v>
      </x:c>
      <x:c r="D11" s="99" t="str">
        <x:v>Missing Information; Conflict Resolution</x:v>
      </x:c>
      <x:c r="E11" s="100" t="str">
        <x:v>Daftar informasi legal, scope, bukti, kontak, review, dan produksi yang belum tersedia.</x:v>
      </x:c>
    </x:row>
    <x:row r="12" ht="48" customHeight="1">
      <x:c r="A12" s="98" t="str">
        <x:v>S07</x:v>
      </x:c>
      <x:c r="B12" s="99" t="str">
        <x:v>Placeholder control</x:v>
      </x:c>
      <x:c r="C12" s="99" t="str">
        <x:v>alignment_2026-08-05\GP_Dummy_Placeholder_Register_2026-08-05.xlsx</x:v>
      </x:c>
      <x:c r="D12" s="99" t="str">
        <x:v>Dummy Placeholder Register rows 5-26</x:v>
      </x:c>
      <x:c r="E12" s="100" t="str">
        <x:v>Status dummy tim, statistik, katalog 15 layanan, artikel, kontak, domain, kebijakan.</x:v>
      </x:c>
    </x:row>
    <x:row r="13" ht="48" customHeight="1">
      <x:c r="A13" s="98" t="str">
        <x:v>S08</x:v>
      </x:c>
      <x:c r="B13" s="99" t="str">
        <x:v>Aligned IA</x:v>
      </x:c>
      <x:c r="C13" s="99" t="str">
        <x:v>alignment_2026-08-05\GP_Fase2_Architecture_Workbook_Aligned_2026-08-05.xlsx</x:v>
      </x:c>
      <x:c r="D13" s="99" t="str">
        <x:v>Final Page List; Current vs Backlog; Navigation</x:v>
      </x:c>
      <x:c r="E13" s="100" t="str">
        <x:v>Page types, backlog service detail, FAQ, Privacy, dan Terms.</x:v>
      </x:c>
    </x:row>
    <x:row r="14" ht="48" customHeight="1">
      <x:c r="A14" s="98" t="str">
        <x:v>S09</x:v>
      </x:c>
      <x:c r="B14" s="99" t="str">
        <x:v>Aligned routing</x:v>
      </x:c>
      <x:c r="C14" s="99" t="str">
        <x:v>alignment_2026-08-05\GP_Fase2_Action_Routing_Workbook_Aligned_2026-08-05.xlsx</x:v>
      </x:c>
      <x:c r="D14" s="99" t="str">
        <x:v>Actions &amp; Routing; Page Relationship</x:v>
      </x:c>
      <x:c r="E14" s="100" t="str">
        <x:v>CTA, self-loop layanan, hubungan halaman, dan routing.</x:v>
      </x:c>
    </x:row>
    <x:row r="15" ht="48" customHeight="1">
      <x:c r="A15" s="98" t="str">
        <x:v>S10</x:v>
      </x:c>
      <x:c r="B15" s="99" t="str">
        <x:v>Current website</x:v>
      </x:c>
      <x:c r="C15" s="99" t="str">
        <x:v>website\src\data\site.ts; website\src\data\home.ts; website\src\components\ContentPage.astro; website\src\components\ServiceCarousel.astro</x:v>
      </x:c>
      <x:c r="D15" s="99" t="str">
        <x:v>site data; service data; service rendering</x:v>
      </x:c>
      <x:c r="E15" s="100" t="str">
        <x:v>Empat kategori, katalog 15 prototipe, placeholder detail, dan self-loop.</x:v>
      </x:c>
    </x:row>
    <x:row r="16" ht="48" customHeight="1">
      <x:c r="A16" s="98" t="str">
        <x:v>S11</x:v>
      </x:c>
      <x:c r="B16" s="99" t="str">
        <x:v>Fase 1 audit</x:v>
      </x:c>
      <x:c r="C16" s="99" t="str">
        <x:v>plan\FASE 1\audit_layanan_gap_perizinan_izincoid.pdf</x:v>
      </x:c>
      <x:c r="D16" s="99" t="str">
        <x:v>pp. 2-10</x:v>
      </x:c>
      <x:c r="E16" s="100" t="str">
        <x:v>Peta kompetitor, demand tiers internal, opportunity gaps, packages, dan validasi keahlian.</x:v>
      </x:c>
    </x:row>
    <x:row r="17" ht="48" customHeight="1">
      <x:c r="A17" s="98" t="str">
        <x:v>S12</x:v>
      </x:c>
      <x:c r="B17" s="99" t="str">
        <x:v>Strategy revision</x:v>
      </x:c>
      <x:c r="C17" s="99" t="str">
        <x:v>plan\Strategi_Website_Galdino_and_Partner_Revisi_Perizinan.docx</x:v>
      </x:c>
      <x:c r="D17" s="99" t="str">
        <x:v>Section 8; Tables 11-14; paras 146-159</x:v>
      </x:c>
      <x:c r="E17" s="100" t="str">
        <x:v>Need-path service structure, service detail requirements, process, dan anti-broad-catalog guardrails.</x:v>
      </x:c>
    </x:row>
    <x:row r="18" ht="48" customHeight="1">
      <x:c r="A18" s="98" t="str">
        <x:v>S13</x:v>
      </x:c>
      <x:c r="B18" s="99" t="str">
        <x:v>Historical blueprint</x:v>
      </x:c>
      <x:c r="C18" s="99" t="str">
        <x:v>plan\Blueprint_Rancangan_Website_Galdino_Partner.md</x:v>
      </x:c>
      <x:c r="D18" s="99" t="str">
        <x:v>Positioning; sitemap; content cadence; V1</x:v>
      </x:c>
      <x:c r="E18" s="100" t="str">
        <x:v>Riwayat dua pilar, scope awal, dan prinsip V1 yang sederhana.</x:v>
      </x:c>
    </x:row>
    <x:row r="19" ht="48" customHeight="1">
      <x:c r="A19" s="98" t="str">
        <x:v>S14</x:v>
      </x:c>
      <x:c r="B19" s="99" t="str">
        <x:v>Website docs</x:v>
      </x:c>
      <x:c r="C19" s="99" t="str">
        <x:v>website\docs\PROJECT_CONTEXT.md</x:v>
      </x:c>
      <x:c r="D19" s="99" t="str">
        <x:v>Audience; content status; CMS</x:v>
      </x:c>
      <x:c r="E19" s="100" t="str">
        <x:v>Konteks audience, bilingual, no CMS, dan placeholder.</x:v>
      </x:c>
    </x:row>
    <x:row r="20" ht="48" customHeight="1">
      <x:c r="A20" s="98" t="str">
        <x:v>S15</x:v>
      </x:c>
      <x:c r="B20" s="99" t="str">
        <x:v>Website docs</x:v>
      </x:c>
      <x:c r="C20" s="99" t="str">
        <x:v>website\docs\PAGE_SPECIFICATIONS.md</x:v>
      </x:c>
      <x:c r="D20" s="99" t="str">
        <x:v>Services; experiences; contact</x:v>
      </x:c>
      <x:c r="E20" s="100" t="str">
        <x:v>Spesifikasi halaman dan konflik katalog 15 versus kategori final.</x:v>
      </x:c>
    </x:row>
    <x:row r="21" ht="48" customHeight="1">
      <x:c r="A21" s="98" t="str">
        <x:v>S16</x:v>
      </x:c>
      <x:c r="B21" s="99" t="str">
        <x:v>Website docs</x:v>
      </x:c>
      <x:c r="C21" s="99" t="str">
        <x:v>website\docs\CONTENT_GUIDELINES.md</x:v>
      </x:c>
      <x:c r="D21" s="99" t="str">
        <x:v>Claims; proof; review</x:v>
      </x:c>
      <x:c r="E21" s="100" t="str">
        <x:v>Disiplin klaim, bukti, dan review artikel.</x:v>
      </x:c>
    </x:row>
    <x:row r="22" ht="48" customHeight="1">
      <x:c r="A22" s="98" t="str">
        <x:v>S17</x:v>
      </x:c>
      <x:c r="B22" s="99" t="str">
        <x:v>Website docs</x:v>
      </x:c>
      <x:c r="C22" s="99" t="str">
        <x:v>website\docs\SERVERLESS_CONTACT_FORM.md</x:v>
      </x:c>
      <x:c r="D22" s="99" t="str">
        <x:v>Submission flow; storage; sensitive data</x:v>
      </x:c>
      <x:c r="E22" s="100" t="str">
        <x:v>Resend, tidak menyimpan submission, dan larangan dokumen sensitif.</x:v>
      </x:c>
    </x:row>
    <x:row r="23" ht="48" customHeight="1">
      <x:c r="A23" s="98" t="str">
        <x:v>S18</x:v>
      </x:c>
      <x:c r="B23" s="99" t="str">
        <x:v>Website docs</x:v>
      </x:c>
      <x:c r="C23" s="99" t="str">
        <x:v>website\docs\SEO_GUIDELINES.md</x:v>
      </x:c>
      <x:c r="D23" s="99" t="str">
        <x:v>Keyword themes; page intent</x:v>
      </x:c>
      <x:c r="E23" s="100" t="str">
        <x:v>Tema SEO dan pemisahan intent commercial/informational.</x:v>
      </x:c>
    </x:row>
    <x:row r="24" ht="48" customHeight="1">
      <x:c r="A24" s="98" t="str">
        <x:v>S19</x:v>
      </x:c>
      <x:c r="B24" s="99" t="str">
        <x:v>Website docs</x:v>
      </x:c>
      <x:c r="C24" s="99" t="str">
        <x:v>website\docs\DEPLOYMENT.md</x:v>
      </x:c>
      <x:c r="D24" s="99" t="str">
        <x:v>Pre-launch checklist</x:v>
      </x:c>
      <x:c r="E24" s="100" t="str">
        <x:v>Approval legal, service, team, Privacy, dan Terms sebelum launch.</x:v>
      </x:c>
    </x:row>
    <x:row r="25" ht="48" customHeight="1">
      <x:c r="A25" s="98" t="str">
        <x:v>S20</x:v>
      </x:c>
      <x:c r="B25" s="99" t="str">
        <x:v>Website docs</x:v>
      </x:c>
      <x:c r="C25" s="99" t="str">
        <x:v>website\docs\REQUIREMENTS.md</x:v>
      </x:c>
      <x:c r="D25" s="99" t="str">
        <x:v>Content and launch requirements</x:v>
      </x:c>
      <x:c r="E25" s="100" t="str">
        <x:v>Larangan claim/dummy serta minimum production readiness.</x:v>
      </x:c>
    </x:row>
    <x:row r="26" ht="48" customHeight="1">
      <x:c r="A26" s="98" t="str">
        <x:v>S21</x:v>
      </x:c>
      <x:c r="B26" s="99" t="str">
        <x:v>Current content</x:v>
      </x:c>
      <x:c r="C26" s="99" t="str">
        <x:v>website\src\content\blog\id\*.md; website\src\content\blog\en\*.md</x:v>
      </x:c>
      <x:c r="D26" s="99" t="str">
        <x:v>Six localized preview files</x:v>
      </x:c>
      <x:c r="E26" s="100" t="str">
        <x:v>Tiga topik artikel dalam dua bahasa; preview-only menurut S01.</x:v>
      </x:c>
    </x:row>
    <x:row r="27" ht="48" customHeight="1">
      <x:c r="A27" s="98" t="str">
        <x:v>S22</x:v>
      </x:c>
      <x:c r="B27" s="99" t="str">
        <x:v>Aligned brand</x:v>
      </x:c>
      <x:c r="C27" s="99" t="str">
        <x:v>alignment_2026-08-05\GP_Brand_Guidelines_Aligned_2026-08-05.pdf</x:v>
      </x:c>
      <x:c r="D27" s="99" t="str">
        <x:v>pp. 3, 9, 15-22, 25, 29-31</x:v>
      </x:c>
      <x:c r="E27" s="100" t="str">
        <x:v>Operator, fact governance, tone, inquiry, dummy governance, dan source hierarchy.</x:v>
      </x:c>
    </x:row>
    <x:row r="28" ht="48" customHeight="1">
      <x:c r="A28" s="98" t="str">
        <x:v>S23</x:v>
      </x:c>
      <x:c r="B28" s="99" t="str">
        <x:v>Original Fase 1</x:v>
      </x:c>
      <x:c r="C28" s="99" t="str">
        <x:v>plan\FASE 1\Galdino &amp; Partner FASE 1 - Discovery.docx</x:v>
      </x:c>
      <x:c r="D28" s="99" t="str">
        <x:v>Discovery tables</x:v>
      </x:c>
      <x:c r="E28" s="100" t="str">
        <x:v>Baseline untuk melacak perubahan ke dokumen aligned.</x:v>
      </x:c>
    </x:row>
    <x:row r="29" ht="48" customHeight="1">
      <x:c r="A29" s="101" t="str">
        <x:v>S24</x:v>
      </x:c>
      <x:c r="B29" s="102" t="str">
        <x:v>Original Fase 2</x:v>
      </x:c>
      <x:c r="C29" s="102" t="str">
        <x:v>plan\FASE 2\GP_Fase2_Website_Brand_Blueprint.docx; plan\FASE 2\GP_Fase2_Architecture_Workbook.xlsx</x:v>
      </x:c>
      <x:c r="D29" s="102" t="str">
        <x:v>Blueprint and page architecture</x:v>
      </x:c>
      <x:c r="E29" s="103" t="str">
        <x:v>Baseline untuk konflik positioning, source priority, page count, dan backlog.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48" hidden="0" customWidth="1"/>
    <x:col min="5" max="5" width="38" hidden="0" customWidth="1"/>
    <x:col min="6" max="6" width="42" hidden="0" customWidth="1"/>
    <x:col min="7" max="7" width="28" hidden="0" customWidth="1"/>
    <x:col min="8" max="8" width="9" hidden="0" customWidth="1"/>
    <x:col min="9" max="9" width="18" hidden="0" customWidth="1"/>
    <x:col min="10" max="10" width="44" hidden="0" customWidth="1"/>
    <x:col min="11" max="11" width="38" hidden="0" customWidth="1"/>
    <x:col min="12" max="12" width="38" hidden="0" customWidth="1"/>
    <x:col min="13" max="13" width="38" hidden="0" customWidth="1"/>
    <x:col min="14" max="14" width="28" hidden="0" customWidth="1"/>
  </x:cols>
  <x:sheetData>
    <x:row r="1" ht="34" customHeight="1">
      <x:c r="A1" s="4" t="str">
        <x:v>Service Inventory</x:v>
      </x:c>
      <x:c r="B1" s="4" t="str">
        <x:v>Service Inventory</x:v>
      </x:c>
      <x:c r="C1" s="4" t="str">
        <x:v>Service Inventory</x:v>
      </x:c>
      <x:c r="D1" s="4" t="str">
        <x:v>Service Inventory</x:v>
      </x:c>
      <x:c r="E1" s="4" t="str">
        <x:v>Service Inventory</x:v>
      </x:c>
      <x:c r="F1" s="4" t="str">
        <x:v>Service Inventory</x:v>
      </x:c>
      <x:c r="G1" s="4" t="str">
        <x:v>Service Inventory</x:v>
      </x:c>
      <x:c r="H1" s="4" t="str">
        <x:v>Service Inventory</x:v>
      </x:c>
      <x:c r="I1" s="4" t="str">
        <x:v>Service Inventory</x:v>
      </x:c>
      <x:c r="J1" s="4" t="str">
        <x:v>Service Inventory</x:v>
      </x:c>
      <x:c r="K1" s="4" t="str">
        <x:v>Service Inventory</x:v>
      </x:c>
      <x:c r="L1" s="4" t="str">
        <x:v>Service Inventory</x:v>
      </x:c>
      <x:c r="M1" s="4" t="str">
        <x:v>Service Inventory</x:v>
      </x:c>
      <x:c r="N1" s="4" t="str">
        <x:v>Service Inventory</x:v>
      </x:c>
    </x:row>
    <x:row r="2" ht="28" customHeight="1">
      <x:c r="A2" s="7" t="str">
        <x:v>All service families and examples found.</x:v>
      </x:c>
      <x:c r="B2" s="7" t="str">
        <x:v>All service families and examples found.</x:v>
      </x:c>
      <x:c r="C2" s="7" t="str">
        <x:v>All service families and examples found.</x:v>
      </x:c>
      <x:c r="D2" s="7" t="str">
        <x:v>All service families and examples found.</x:v>
      </x:c>
      <x:c r="E2" s="7" t="str">
        <x:v>All service families and examples found.</x:v>
      </x:c>
      <x:c r="F2" s="7" t="str">
        <x:v>All service families and examples found.</x:v>
      </x:c>
      <x:c r="G2" s="7" t="str">
        <x:v>All service families and examples found.</x:v>
      </x:c>
      <x:c r="H2" s="7" t="str">
        <x:v>All service families and examples found.</x:v>
      </x:c>
      <x:c r="I2" s="7" t="str">
        <x:v>All service families and examples found.</x:v>
      </x:c>
      <x:c r="J2" s="7" t="str">
        <x:v>All service families and examples found.</x:v>
      </x:c>
      <x:c r="K2" s="7" t="str">
        <x:v>All service families and examples found.</x:v>
      </x:c>
      <x:c r="L2" s="7" t="str">
        <x:v>All service families and examples found.</x:v>
      </x:c>
      <x:c r="M2" s="7" t="str">
        <x:v>All service families and examples found.</x:v>
      </x:c>
      <x:c r="N2" s="7" t="str">
        <x:v>All service families and examples found.</x:v>
      </x:c>
    </x:row>
    <x:row r="3" ht="30" customHeight="1">
      <x:c r="A3" s="10" t="str">
        <x:v>Inventory presence does not imply sale/publication approval.</x:v>
      </x:c>
      <x:c r="B3" s="10" t="str">
        <x:v>Inventory presence does not imply sale/publication approval.</x:v>
      </x:c>
      <x:c r="C3" s="10" t="str">
        <x:v>Inventory presence does not imply sale/publication approval.</x:v>
      </x:c>
      <x:c r="D3" s="10" t="str">
        <x:v>Inventory presence does not imply sale/publication approval.</x:v>
      </x:c>
      <x:c r="E3" s="10" t="str">
        <x:v>Inventory presence does not imply sale/publication approval.</x:v>
      </x:c>
      <x:c r="F3" s="10" t="str">
        <x:v>Inventory presence does not imply sale/publication approval.</x:v>
      </x:c>
      <x:c r="G3" s="10" t="str">
        <x:v>Inventory presence does not imply sale/publication approval.</x:v>
      </x:c>
      <x:c r="H3" s="10" t="str">
        <x:v>Inventory presence does not imply sale/publication approval.</x:v>
      </x:c>
      <x:c r="I3" s="10" t="str">
        <x:v>Inventory presence does not imply sale/publication approval.</x:v>
      </x:c>
      <x:c r="J3" s="10" t="str">
        <x:v>Inventory presence does not imply sale/publication approval.</x:v>
      </x:c>
      <x:c r="K3" s="10" t="str">
        <x:v>Inventory presence does not imply sale/publication approval.</x:v>
      </x:c>
      <x:c r="L3" s="10" t="str">
        <x:v>Inventory presence does not imply sale/publication approval.</x:v>
      </x:c>
      <x:c r="M3" s="10" t="str">
        <x:v>Inventory presence does not imply sale/publication approval.</x:v>
      </x:c>
      <x:c r="N3" s="10" t="str">
        <x:v>Inventory presence does not imply sale/publication approval.</x:v>
      </x:c>
    </x:row>
    <x:row r="5" ht="34" customHeight="1">
      <x:c r="A5" s="22" t="str">
        <x:v>ID</x:v>
      </x:c>
      <x:c r="B5" s="23" t="str">
        <x:v>Permit type</x:v>
      </x:c>
      <x:c r="C5" s="23" t="str">
        <x:v>Service family</x:v>
      </x:c>
      <x:c r="D5" s="23" t="str">
        <x:v>Examples</x:v>
      </x:c>
      <x:c r="E5" s="23" t="str">
        <x:v>Target</x:v>
      </x:c>
      <x:c r="F5" s="23" t="str">
        <x:v>Problem</x:v>
      </x:c>
      <x:c r="G5" s="23" t="str">
        <x:v>Readiness</x:v>
      </x:c>
      <x:c r="H5" s="23" t="str">
        <x:v>Grade</x:v>
      </x:c>
      <x:c r="I5" s="23" t="str">
        <x:v>Decision</x:v>
      </x:c>
      <x:c r="J5" s="23" t="str">
        <x:v>Rationale</x:v>
      </x:c>
      <x:c r="K5" s="23" t="str">
        <x:v>Advantages</x:v>
      </x:c>
      <x:c r="L5" s="23" t="str">
        <x:v>Disadvantages</x:v>
      </x:c>
      <x:c r="M5" s="23" t="str">
        <x:v>Risks</x:v>
      </x:c>
      <x:c r="N5" s="24" t="str">
        <x:v>Source</x:v>
      </x:c>
    </x:row>
    <x:row r="6" ht="48" customHeight="1">
      <x:c r="A6" s="95" t="str">
        <x:v>L01</x:v>
      </x:c>
      <x:c r="B6" s="96" t="str">
        <x:v>Audit dan pemetaan perizinan</x:v>
      </x:c>
      <x:c r="C6" s="96" t="str">
        <x:v>Regulatory Readiness &amp; Permit Roadmap</x:v>
      </x:c>
      <x:c r="D6" s="96" t="str">
        <x:v>Assessment kebutuhan; peta izin; dependency map; checklist dokumen; gap map</x:v>
      </x:c>
      <x:c r="E6" s="96" t="str">
        <x:v>Owner, direktur, legal/ops, investor dengan pendirian, ekspansi, atau regularisasi</x:v>
      </x:c>
      <x:c r="F6" s="96" t="str">
        <x:v>Kebutuhan izin dan urutan tindakan tidak jelas</x:v>
      </x:c>
      <x:c r="G6" s="96" t="str">
        <x:v>Konsep kuat; scope final belum disetujui</x:v>
      </x:c>
      <x:c r="H6" s="130" t="str">
        <x:v>A</x:v>
      </x:c>
      <x:c r="I6" s="96" t="str">
        <x:v>Lean Launch</x:v>
      </x:c>
      <x:c r="J6" s="96" t="str">
        <x:v>Masalah bernilai tinggi dan proses paling mudah distandardisasi tanpa menanggung seluruh eksekusi</x:v>
      </x:c>
      <x:c r="K6" s="96" t="str">
        <x:v>Scope dapat dibatasi; hasil konkret; menjadi pintu masuk cross-sell; cocok dengan positioning map-prepare-guide</x:v>
      </x:c>
      <x:c r="L6" s="96" t="str">
        <x:v>Butuh judgement regulasi dan bukti kompetensi; nilai ekonominya belum tervalidasi</x:v>
      </x:c>
      <x:c r="M6" s="96" t="str">
        <x:v>Kesalahan mapping dapat memicu rework dan reputational loss</x:v>
      </x:c>
      <x:c r="N6" s="97" t="str">
        <x:v>S02 T38-T41,T50,T56; S03 T5,T9; S12 T12-13</x:v>
      </x:c>
    </x:row>
    <x:row r="7" ht="48" customHeight="1">
      <x:c r="A7" s="98" t="str">
        <x:v>L02</x:v>
      </x:c>
      <x:c r="B7" s="99" t="str">
        <x:v>Pendirian dan legalitas badan usaha</x:v>
      </x:c>
      <x:c r="C7" s="99" t="str">
        <x:v>Pendirian PT/CV + dokumen dasar + NIB sebagai paket</x:v>
      </x:c>
      <x:c r="D7" s="99" t="str">
        <x:v>PT; CV; akta/dokumen korporasi; NIB dasar</x:v>
      </x:c>
      <x:c r="E7" s="99" t="str">
        <x:v>Usaha baru atau unit usaha yang perlu fondasi legal</x:v>
      </x:c>
      <x:c r="F7" s="99" t="str">
        <x:v>Pendirian dan dokumen dasar belum tertata</x:v>
      </x:c>
      <x:c r="G7" s="99" t="str">
        <x:v>Prototype; deliverable belum disetujui</x:v>
      </x:c>
      <x:c r="H7" s="132" t="str">
        <x:v>B</x:v>
      </x:c>
      <x:c r="I7" s="99" t="str">
        <x:v>Controlled Growth</x:v>
      </x:c>
      <x:c r="J7" s="99" t="str">
        <x:v>Layak sebagai modul pendukung, bukan core high-ticket</x:v>
      </x:c>
      <x:c r="K7" s="99" t="str">
        <x:v>Demand luas; SOP dan delegasi tinggi; mudah menjadi feeder</x:v>
      </x:c>
      <x:c r="L7" s="99" t="str">
        <x:v>Persaingan dan perbandingan harga tinggi; rawan menjadi low-ticket</x:v>
      </x:c>
      <x:c r="M7" s="99" t="str">
        <x:v>Scope creep, komunikasi tinggi, dan positioning turun menjadi penyedia administrasi</x:v>
      </x:c>
      <x:c r="N7" s="100" t="str">
        <x:v>S02 T14,T38; S10 home.ts; S11 pp.2-3,6</x:v>
      </x:c>
    </x:row>
    <x:row r="8" ht="48" customHeight="1">
      <x:c r="A8" s="98" t="str">
        <x:v>L03</x:v>
      </x:c>
      <x:c r="B8" s="99" t="str">
        <x:v>Pendirian dan legalitas badan usaha</x:v>
      </x:c>
      <x:c r="C8" s="99" t="str">
        <x:v>Pendirian PT PMA</x:v>
      </x:c>
      <x:c r="D8" s="99" t="str">
        <x:v>PT PMA; struktur awal; NIB/OSS; koordinasi kebutuhan investasi</x:v>
      </x:c>
      <x:c r="E8" s="99" t="str">
        <x:v>Investor atau perusahaan asing</x:v>
      </x:c>
      <x:c r="F8" s="99" t="str">
        <x:v>Struktur dan perizinan awal investasi perlu disejajarkan</x:v>
      </x:c>
      <x:c r="G8" s="99" t="str">
        <x:v>Prototype; capability proof belum tersedia</x:v>
      </x:c>
      <x:c r="H8" s="132" t="str">
        <x:v>B</x:v>
      </x:c>
      <x:c r="I8" s="99" t="str">
        <x:v>Controlled Growth</x:v>
      </x:c>
      <x:c r="J8" s="99" t="str">
        <x:v>High-ticket potensial tetapi proof, SOP, dan scope belum tersedia</x:v>
      </x:c>
      <x:c r="K8" s="99" t="str">
        <x:v>Target mampu membayar; cross-sell tinggi; bilingual website mendukung</x:v>
      </x:c>
      <x:c r="L8" s="99" t="str">
        <x:v>Butuh keahlian, detail sektoral, dan komunikasi lebih tinggi</x:v>
      </x:c>
      <x:c r="M8" s="99" t="str">
        <x:v>Salah scope investasi/KBLI; dependensi dokumen lintas negara</x:v>
      </x:c>
      <x:c r="N8" s="100" t="str">
        <x:v>S02 T34,T38,T84; S10 home.ts; S11 p.3</x:v>
      </x:c>
    </x:row>
    <x:row r="9" ht="48" customHeight="1">
      <x:c r="A9" s="98" t="str">
        <x:v>L04</x:v>
      </x:c>
      <x:c r="B9" s="99" t="str">
        <x:v>Pendirian dan legalitas badan usaha</x:v>
      </x:c>
      <x:c r="C9" s="99" t="str">
        <x:v>Bentuk badan lain</x:v>
      </x:c>
      <x:c r="D9" s="99" t="str">
        <x:v>PT perorangan; firma; persekutuan perdata; yayasan; koperasi; perkumpulan</x:v>
      </x:c>
      <x:c r="E9" s="99" t="str">
        <x:v>Pemohon dengan kebutuhan bentuk badan khusus</x:v>
      </x:c>
      <x:c r="F9" s="99" t="str">
        <x:v>Pemilihan dan pembentukan entitas non-core</x:v>
      </x:c>
      <x:c r="G9" s="99" t="str">
        <x:v>Hanya ditemukan pada audit kompetitor</x:v>
      </x:c>
      <x:c r="H9" s="134" t="str">
        <x:v>C</x:v>
      </x:c>
      <x:c r="I9" s="99" t="str">
        <x:v>Ditunda</x:v>
      </x:c>
      <x:c r="J9" s="99" t="str">
        <x:v>Tidak cocok untuk lean launch tanpa bukti volume dan margin</x:v>
      </x:c>
      <x:c r="K9" s="99" t="str">
        <x:v>Menambah cakupan pencarian dan referral</x:v>
      </x:c>
      <x:c r="L9" s="99" t="str">
        <x:v>Memperlebar SOP, expertise, dan konten untuk nilai transaksi yang belum terbukti</x:v>
      </x:c>
      <x:c r="M9" s="99" t="str">
        <x:v>Long-tail inquiry dan kesalahan pemilihan bentuk</x:v>
      </x:c>
      <x:c r="N9" s="100" t="str">
        <x:v>S11 p.3</x:v>
      </x:c>
    </x:row>
    <x:row r="10" ht="48" customHeight="1">
      <x:c r="A10" s="98" t="str">
        <x:v>L05</x:v>
      </x:c>
      <x:c r="B10" s="99" t="str">
        <x:v>Perubahan dan pemulihan</x:v>
      </x:c>
      <x:c r="C10" s="99" t="str">
        <x:v>Perubahan data korporasi</x:v>
      </x:c>
      <x:c r="D10" s="99" t="str">
        <x:v>Perubahan data perseroan; kegiatan usaha; pengurus; alamat; penyesuaian korporasi</x:v>
      </x:c>
      <x:c r="E10" s="99" t="str">
        <x:v>Klien eksisting yang berubah atau berekspansi</x:v>
      </x:c>
      <x:c r="F10" s="99" t="str">
        <x:v>Data legal dan operasional tidak lagi selaras</x:v>
      </x:c>
      <x:c r="G10" s="99" t="str">
        <x:v>Prototype</x:v>
      </x:c>
      <x:c r="H10" s="132" t="str">
        <x:v>B</x:v>
      </x:c>
      <x:c r="I10" s="99" t="str">
        <x:v>Controlled Growth</x:v>
      </x:c>
      <x:c r="J10" s="99" t="str">
        <x:v>Baik sebagai modul retainer atau project, bukan landing page utama</x:v>
      </x:c>
      <x:c r="K10" s="99" t="str">
        <x:v>Repeat/cross-sell baik; dapat ditemplate; natural post-sale</x:v>
      </x:c>
      <x:c r="L10" s="99" t="str">
        <x:v>Kasus dapat membuka isu dokumen lama</x:v>
      </x:c>
      <x:c r="M10" s="99" t="str">
        <x:v>Data tidak konsisten dan dependensi notaris/otoritas</x:v>
      </x:c>
      <x:c r="N10" s="100" t="str">
        <x:v>S02 T38-T39; S10 home.ts; S11 p.3</x:v>
      </x:c>
    </x:row>
    <x:row r="11" ht="48" customHeight="1">
      <x:c r="A11" s="98" t="str">
        <x:v>L06</x:v>
      </x:c>
      <x:c r="B11" s="99" t="str">
        <x:v>Perizinan berbasis risiko</x:v>
      </x:c>
      <x:c r="C11" s="99" t="str">
        <x:v>KBLI, NIB, dan OSS-RBA mapping</x:v>
      </x:c>
      <x:c r="D11" s="99" t="str">
        <x:v>Review aktivitas; pemilihan KBLI; tingkat risiko; NIB; OSS-RBA</x:v>
      </x:c>
      <x:c r="E11" s="99" t="str">
        <x:v>Perusahaan yang baru, berubah, atau mengalami mismatch</x:v>
      </x:c>
      <x:c r="F11" s="99" t="str">
        <x:v>Aktivitas, KBLI, legalitas, dan izin operasional tidak selaras</x:v>
      </x:c>
      <x:c r="G11" s="99" t="str">
        <x:v>Kategori disetujui; scope final belum</x:v>
      </x:c>
      <x:c r="H11" s="136" t="str">
        <x:v>A</x:v>
      </x:c>
      <x:c r="I11" s="99" t="str">
        <x:v>Lean Launch</x:v>
      </x:c>
      <x:c r="J11" s="99" t="str">
        <x:v>A jika berupa diagnosis high-value; C jika hanya administrasi NIB</x:v>
      </x:c>
      <x:c r="K11" s="99" t="str">
        <x:v>Urgensi tinggi; SEO kuat; deliverable dapat distandardisasi; feeder seluruh portofolio</x:v>
      </x:c>
      <x:c r="L11" s="99" t="str">
        <x:v>Standalone NIB mudah menjadi komoditas</x:v>
      </x:c>
      <x:c r="M11" s="99" t="str">
        <x:v>Kesalahan mapping; perubahan regulasi; klien menganggap NIB = semua izin selesai</x:v>
      </x:c>
      <x:c r="N11" s="100" t="str">
        <x:v>S02 T14,T38-T40,T84; S03 T10; S10 home.ts; S21 risk-based article</x:v>
      </x:c>
    </x:row>
    <x:row r="12" ht="48" customHeight="1">
      <x:c r="A12" s="98" t="str">
        <x:v>L07</x:v>
      </x:c>
      <x:c r="B12" s="99" t="str">
        <x:v>Perizinan berbasis risiko</x:v>
      </x:c>
      <x:c r="C12" s="99" t="str">
        <x:v>NIB/OSS standalone</x:v>
      </x:c>
      <x:c r="D12" s="99" t="str">
        <x:v>Penerbitan NIB sederhana; input OSS</x:v>
      </x:c>
      <x:c r="E12" s="99" t="str">
        <x:v>Usaha yang hanya membutuhkan administrasi dasar</x:v>
      </x:c>
      <x:c r="F12" s="99" t="str">
        <x:v>Butuh output OSS cepat</x:v>
      </x:c>
      <x:c r="G12" s="99" t="str">
        <x:v>Ada dalam prototype secara luas</x:v>
      </x:c>
      <x:c r="H12" s="134" t="str">
        <x:v>C</x:v>
      </x:c>
      <x:c r="I12" s="99" t="str">
        <x:v>Dieliminasi</x:v>
      </x:c>
      <x:c r="J12" s="99" t="str">
        <x:v>Tidak memenuhi high-ticket dan leverage media tidak sebanding maintenance</x:v>
      </x:c>
      <x:c r="K12" s="99" t="str">
        <x:v>SOP/automation tinggi dan demand luas</x:v>
      </x:c>
      <x:c r="L12" s="99" t="str">
        <x:v>Low-ticket, kompetitif, komunikasi koreksi tinggi, merusak high-ticket positioning</x:v>
      </x:c>
      <x:c r="M12" s="99" t="str">
        <x:v>Price shopping dan harapan kecepatan/approval</x:v>
      </x:c>
      <x:c r="N12" s="100" t="str">
        <x:v>S11 pp.2,6; S12 paras 146-159</x:v>
      </x:c>
    </x:row>
    <x:row r="13" ht="48" customHeight="1">
      <x:c r="A13" s="98" t="str">
        <x:v>L08</x:v>
      </x:c>
      <x:c r="B13" s="99" t="str">
        <x:v>Perizinan berbasis risiko</x:v>
      </x:c>
      <x:c r="C13" s="99" t="str">
        <x:v>Sertifikat Standar, Izin, dan PB UMKU terpilih</x:v>
      </x:c>
      <x:c r="D13" s="99" t="str">
        <x:v>Sertifikat Standar; izin; PB UMKU; prasyarat sektoral</x:v>
      </x:c>
      <x:c r="E13" s="99" t="str">
        <x:v>Perusahaan dengan risiko menengah/tinggi dan kebutuhan operasional</x:v>
      </x:c>
      <x:c r="F13" s="99" t="str">
        <x:v>NIB belum cukup untuk operasi legal</x:v>
      </x:c>
      <x:c r="G13" s="99" t="str">
        <x:v>Prototype; sektor coverage belum disetujui</x:v>
      </x:c>
      <x:c r="H13" s="132" t="str">
        <x:v>B</x:v>
      </x:c>
      <x:c r="I13" s="99" t="str">
        <x:v>Controlled Growth</x:v>
      </x:c>
      <x:c r="J13" s="99" t="str">
        <x:v>Menarik secara bisnis tetapi belum layak sebagai katalog universal</x:v>
      </x:c>
      <x:c r="K13" s="99" t="str">
        <x:v>Urgent, natural cross-sell, dapat dipaketkan per sektor</x:v>
      </x:c>
      <x:c r="L13" s="99" t="str">
        <x:v>Bervariasi menurut sektor; dependensi otoritas dan bukti teknis</x:v>
      </x:c>
      <x:c r="M13" s="99" t="str">
        <x:v>Delay, complaint, regulatory change, dan salah klasifikasi</x:v>
      </x:c>
      <x:c r="N13" s="100" t="str">
        <x:v>S03 T10; S05 I-034-I-042; S10 home.ts; S11 p.3</x:v>
      </x:c>
    </x:row>
    <x:row r="14" ht="48" customHeight="1">
      <x:c r="A14" s="98" t="str">
        <x:v>L09</x:v>
      </x:c>
      <x:c r="B14" s="99" t="str">
        <x:v>Perizinan operasional/sektoral</x:v>
      </x:c>
      <x:c r="C14" s="99" t="str">
        <x:v>Perizinan sektoral umum</x:v>
      </x:c>
      <x:c r="D14" s="99" t="str">
        <x:v>Izin operasional sektor; izin pendukung kegiatan usaha</x:v>
      </x:c>
      <x:c r="E14" s="99" t="str">
        <x:v>Perusahaan yang memerlukan izin di luar NIB</x:v>
      </x:c>
      <x:c r="F14" s="99" t="str">
        <x:v>Operasi tertahan karena prasyarat sektoral</x:v>
      </x:c>
      <x:c r="G14" s="99" t="str">
        <x:v>Kategori disetujui; cakupan belum</x:v>
      </x:c>
      <x:c r="H14" s="132" t="str">
        <x:v>B</x:v>
      </x:c>
      <x:c r="I14" s="99" t="str">
        <x:v>Controlled Growth</x:v>
      </x:c>
      <x:c r="J14" s="99" t="str">
        <x:v>Grade B hanya sebagai daftar terkurasi; istilah payung tidak boleh menjadi janji universal</x:v>
      </x:c>
      <x:c r="K14" s="99" t="str">
        <x:v>Nilai dapat naik dengan kompleksitas; cocok sebagai upsell</x:v>
      </x:c>
      <x:c r="L14" s="99" t="str">
        <x:v>Istilah terlalu luas dan tidak dapat diberi SOP tunggal</x:v>
      </x:c>
      <x:c r="M14" s="99" t="str">
        <x:v>Overclaim kompetensi dan scope ambiguity</x:v>
      </x:c>
      <x:c r="N14" s="100" t="str">
        <x:v>S02 T14,T38; S03 T7,T10-T11; S05 I-034-I-042</x:v>
      </x:c>
    </x:row>
    <x:row r="15" ht="48" customHeight="1">
      <x:c r="A15" s="98" t="str">
        <x:v>L10</x:v>
      </x:c>
      <x:c r="B15" s="99" t="str">
        <x:v>Kepatuhan pasca-izin</x:v>
      </x:c>
      <x:c r="C15" s="99" t="str">
        <x:v>LKPM dan pelaporan pasca-izin</x:v>
      </x:c>
      <x:c r="D15" s="99" t="str">
        <x:v>LKPM; reporting calendar; status update OSS; kewajiban berkala</x:v>
      </x:c>
      <x:c r="E15" s="99" t="str">
        <x:v>PT PMA dan perusahaan dengan kewajiban pelaporan</x:v>
      </x:c>
      <x:c r="F15" s="99" t="str">
        <x:v>Izin sudah terbit tetapi kewajiban pasca-izin tidak dimonitor</x:v>
      </x:c>
      <x:c r="G15" s="99" t="str">
        <x:v>Prototype; SOP belum tersedia</x:v>
      </x:c>
      <x:c r="H15" s="136" t="str">
        <x:v>A</x:v>
      </x:c>
      <x:c r="I15" s="99" t="str">
        <x:v>Lean Launch</x:v>
      </x:c>
      <x:c r="J15" s="99" t="str">
        <x:v>Core recurring module dengan leverage sistem tinggi</x:v>
      </x:c>
      <x:c r="K15" s="99" t="str">
        <x:v>Repeat, automation, kalender, dan retainer fit tinggi</x:v>
      </x:c>
      <x:c r="L15" s="99" t="str">
        <x:v>Butuh monitoring regulasi dan data tepat waktu dari klien</x:v>
      </x:c>
      <x:c r="M15" s="99" t="str">
        <x:v>Late filing, data quality, missed obligation</x:v>
      </x:c>
      <x:c r="N15" s="100" t="str">
        <x:v>S02 T39,T76,T89; S10 home.ts; S11 pp.7-8</x:v>
      </x:c>
    </x:row>
    <x:row r="16" ht="48" customHeight="1">
      <x:c r="A16" s="98" t="str">
        <x:v>L11</x:v>
      </x:c>
      <x:c r="B16" s="99" t="str">
        <x:v>Audit dan pemulihan perizinan</x:v>
      </x:c>
      <x:c r="C16" s="99" t="str">
        <x:v>Permit Audit, Remediation &amp; Regularization</x:v>
      </x:c>
      <x:c r="D16" s="99" t="str">
        <x:v>Gap audit; mismatch correction; remediation plan; regularisasi</x:v>
      </x:c>
      <x:c r="E16" s="99" t="str">
        <x:v>Perusahaan dengan dokumen lama, mismatch, audit finding, atau ekspansi</x:v>
      </x:c>
      <x:c r="F16" s="99" t="str">
        <x:v>Ketidaksesuaian menimbulkan rework, risiko compliance, atau hambatan operasi</x:v>
      </x:c>
      <x:c r="G16" s="99" t="str">
        <x:v>Konsep didukung; scope final belum</x:v>
      </x:c>
      <x:c r="H16" s="136" t="str">
        <x:v>A</x:v>
      </x:c>
      <x:c r="I16" s="99" t="str">
        <x:v>Lean Launch</x:v>
      </x:c>
      <x:c r="J16" s="99" t="str">
        <x:v>High-ticket, scope-able, dan tidak harus menjanjikan approval</x:v>
      </x:c>
      <x:c r="K16" s="99" t="str">
        <x:v>Masalah urgent dan bernilai tinggi; outcome berupa gap map dan action plan</x:v>
      </x:c>
      <x:c r="L16" s="99" t="str">
        <x:v>Kasus lama dapat kompleks dan membutuhkan ahli tambahan</x:v>
      </x:c>
      <x:c r="M16" s="99" t="str">
        <x:v>Hidden issues, disputed facts, reputational exposure</x:v>
      </x:c>
      <x:c r="N16" s="100" t="str">
        <x:v>S02 T38-T41,T50; S11 pp.7-8; S12 T12-13</x:v>
      </x:c>
    </x:row>
    <x:row r="17" ht="48" customHeight="1">
      <x:c r="A17" s="98" t="str">
        <x:v>L12</x:v>
      </x:c>
      <x:c r="B17" s="99" t="str">
        <x:v>Perubahan dan pemulihan</x:v>
      </x:c>
      <x:c r="C17" s="99" t="str">
        <x:v>Perpanjangan dan pembaruan izin</x:v>
      </x:c>
      <x:c r="D17" s="99" t="str">
        <x:v>Renewal; perubahan izin; update data; recovery administratif</x:v>
      </x:c>
      <x:c r="E17" s="99" t="str">
        <x:v>Klien eksisting dengan izin yang kedaluwarsa/berubah</x:v>
      </x:c>
      <x:c r="F17" s="99" t="str">
        <x:v>Izin perlu diperbarui atau dipulihkan</x:v>
      </x:c>
      <x:c r="G17" s="99" t="str">
        <x:v>Detail scope belum tersedia</x:v>
      </x:c>
      <x:c r="H17" s="132" t="str">
        <x:v>B</x:v>
      </x:c>
      <x:c r="I17" s="99" t="str">
        <x:v>Controlled Growth</x:v>
      </x:c>
      <x:c r="J17" s="99" t="str">
        <x:v>Layak sebagai modul retainer; bukan emergency service</x:v>
      </x:c>
      <x:c r="K17" s="99" t="str">
        <x:v>Repeat tinggi; cocok dengan calendar dan retainer</x:v>
      </x:c>
      <x:c r="L17" s="99" t="str">
        <x:v>Urgensi dapat memicu rush dan ketergantungan otoritas</x:v>
      </x:c>
      <x:c r="M17" s="99" t="str">
        <x:v>Missed deadline, incomplete historical documents, complaints</x:v>
      </x:c>
      <x:c r="N17" s="100" t="str">
        <x:v>S02 T31,T39,T80; S11 p.8</x:v>
      </x:c>
    </x:row>
    <x:row r="18" ht="48" customHeight="1">
      <x:c r="A18" s="98" t="str">
        <x:v>L13</x:v>
      </x:c>
      <x:c r="B18" s="99" t="str">
        <x:v>Perubahan dan pemulihan</x:v>
      </x:c>
      <x:c r="C18" s="99" t="str">
        <x:v>Pencabutan dan penutupan izin</x:v>
      </x:c>
      <x:c r="D18" s="99" t="str">
        <x:v>Revocation; closure; de-registration support</x:v>
      </x:c>
      <x:c r="E18" s="99" t="str">
        <x:v>Perusahaan yang menutup atau merestrukturisasi aktivitas</x:v>
      </x:c>
      <x:c r="F18" s="99" t="str">
        <x:v>Status izin perlu dihentikan secara tertib</x:v>
      </x:c>
      <x:c r="G18" s="99" t="str">
        <x:v>Belum didefinisikan</x:v>
      </x:c>
      <x:c r="H18" s="134" t="str">
        <x:v>C</x:v>
      </x:c>
      <x:c r="I18" s="99" t="str">
        <x:v>Partner-Based</x:v>
      </x:c>
      <x:c r="J18" s="99" t="str">
        <x:v>Tidak cukup kuat sebagai service line publik</x:v>
      </x:c>
      <x:c r="K18" s="99" t="str">
        <x:v>Cross-sell pada lifecycle akhir</x:v>
      </x:c>
      <x:c r="L18" s="99" t="str">
        <x:v>Nilai/demand tidak terbukti; potensi isu pajak/ketenagakerjaan/legal lain</x:v>
      </x:c>
      <x:c r="M18" s="99" t="str">
        <x:v>Liability tail dan incomplete closure</x:v>
      </x:c>
      <x:c r="N18" s="100" t="str">
        <x:v>S02 T80; S11 p.3</x:v>
      </x:c>
    </x:row>
    <x:row r="19" ht="48" customHeight="1">
      <x:c r="A19" s="98" t="str">
        <x:v>L14</x:v>
      </x:c>
      <x:c r="B19" s="99" t="str">
        <x:v>Kepatuhan pasca-izin</x:v>
      </x:c>
      <x:c r="C19" s="99" t="str">
        <x:v>Annual Regulatory Care / Compliance Retainer</x:v>
      </x:c>
      <x:c r="D19" s="99" t="str">
        <x:v>Initial audit; compliance calendar; LKPM; renewal tracking; regulatory update; correspondence support</x:v>
      </x:c>
      <x:c r="E19" s="99" t="str">
        <x:v>Perusahaan yang memerlukan governance izin berkelanjutan</x:v>
      </x:c>
      <x:c r="F19" s="99" t="str">
        <x:v>Kewajiban pasca-izin tersebar dan tidak dimiliki satu fungsi</x:v>
      </x:c>
      <x:c r="G19" s="99" t="str">
        <x:v>Opportunity; perlu MVP SOP dan pricing</x:v>
      </x:c>
      <x:c r="H19" s="136" t="str">
        <x:v>A</x:v>
      </x:c>
      <x:c r="I19" s="99" t="str">
        <x:v>Lean Launch</x:v>
      </x:c>
      <x:c r="J19" s="99" t="str">
        <x:v>Peluang terbesar yang disebut audit dan paling sesuai bisnis lean</x:v>
      </x:c>
      <x:c r="K19" s="99" t="str">
        <x:v>Recurring revenue, high switching cost, SOP/automation, cross-sell, dan positioning kuat</x:v>
      </x:c>
      <x:c r="L19" s="99" t="str">
        <x:v>Beban monitoring regulasi dan service level berkelanjutan</x:v>
      </x:c>
      <x:c r="M19" s="99" t="str">
        <x:v>Missed obligations, scope creep, client data delays</x:v>
      </x:c>
      <x:c r="N19" s="100" t="str">
        <x:v>S02 T16-T17,T39,T54-T58; S03 T10-T11; S11 pp.2,7-8</x:v>
      </x:c>
    </x:row>
    <x:row r="20" ht="48" customHeight="1">
      <x:c r="A20" s="98" t="str">
        <x:v>L15</x:v>
      </x:c>
      <x:c r="B20" s="99" t="str">
        <x:v>Perizinan proyek dan investasi</x:v>
      </x:c>
      <x:c r="C20" s="99" t="str">
        <x:v>Project &amp; Investment Permit Management</x:v>
      </x:c>
      <x:c r="D20" s="99" t="str">
        <x:v>Permit dependency map; stakeholder coordination; document control; progress reporting</x:v>
      </x:c>
      <x:c r="E20" s="99" t="str">
        <x:v>Investor, developer, manufacturer, dan project owner</x:v>
      </x:c>
      <x:c r="F20" s="99" t="str">
        <x:v>Banyak izin saling bergantung dan tidak ada single project control</x:v>
      </x:c>
      <x:c r="G20" s="99" t="str">
        <x:v>Kategori disetujui; deliverables belum</x:v>
      </x:c>
      <x:c r="H20" s="132" t="str">
        <x:v>B</x:v>
      </x:c>
      <x:c r="I20" s="99" t="str">
        <x:v>Controlled Growth</x:v>
      </x:c>
      <x:c r="J20" s="99" t="str">
        <x:v>Bukan Grade A karena beban operasional; layak selektif setelah sistem terbukti</x:v>
      </x:c>
      <x:c r="K20" s="99" t="str">
        <x:v>High-ticket, visible outcome, portfolio/content kuat</x:v>
      </x:c>
      <x:c r="L20" s="99" t="str">
        <x:v>Kompleks, panjang, partner-dependent, dan owner oversight tinggi</x:v>
      </x:c>
      <x:c r="M20" s="99" t="str">
        <x:v>Delay, authority dependency, change order, blame transfer</x:v>
      </x:c>
      <x:c r="N20" s="100" t="str">
        <x:v>S02 T14,T38,T50; S03 T10-T11; S11 pp.7-8; S12 T12-13</x:v>
      </x:c>
    </x:row>
    <x:row r="21" ht="48" customHeight="1">
      <x:c r="A21" s="98" t="str">
        <x:v>L16</x:v>
      </x:c>
      <x:c r="B21" s="99" t="str">
        <x:v>Bangunan, lokasi, dan pertanahan</x:v>
      </x:c>
      <x:c r="C21" s="99" t="str">
        <x:v>KKPR dan persetujuan lokasi</x:v>
      </x:c>
      <x:c r="D21" s="99" t="str">
        <x:v>KKPR; persetujuan lokasi; location conformity</x:v>
      </x:c>
      <x:c r="E21" s="99" t="str">
        <x:v>Pemilik proyek, pabrik, gudang, developer</x:v>
      </x:c>
      <x:c r="F21" s="99" t="str">
        <x:v>Kesesuaian lokasi menjadi prasyarat proyek</x:v>
      </x:c>
      <x:c r="G21" s="99" t="str">
        <x:v>Prototype; supporting audit only</x:v>
      </x:c>
      <x:c r="H21" s="132" t="str">
        <x:v>B</x:v>
      </x:c>
      <x:c r="I21" s="99" t="str">
        <x:v>Partner-Based</x:v>
      </x:c>
      <x:c r="J21" s="99" t="str">
        <x:v>High value tetapi tidak cocok dieksekusi in-house pada lean launch</x:v>
      </x:c>
      <x:c r="K21" s="99" t="str">
        <x:v>High urgency dan cross-sell ke environment/PBG/SLF</x:v>
      </x:c>
      <x:c r="L21" s="99" t="str">
        <x:v>Kunjungan/data teknis/otoritas; tidak mudah distandardisasi penuh</x:v>
      </x:c>
      <x:c r="M21" s="99" t="str">
        <x:v>Location rejection, data/spatial mismatch, delays</x:v>
      </x:c>
      <x:c r="N21" s="100" t="str">
        <x:v>S10 home.ts; S11 pp.7-8</x:v>
      </x:c>
    </x:row>
    <x:row r="22" ht="48" customHeight="1">
      <x:c r="A22" s="98" t="str">
        <x:v>L17</x:v>
      </x:c>
      <x:c r="B22" s="99" t="str">
        <x:v>Bangunan, lokasi, dan pertanahan</x:v>
      </x:c>
      <x:c r="C22" s="99" t="str">
        <x:v>Pertanahan dan land due-diligence perizinan</x:v>
      </x:c>
      <x:c r="D22" s="99" t="str">
        <x:v>Status tanah; land permit dependency; supporting due diligence</x:v>
      </x:c>
      <x:c r="E22" s="99" t="str">
        <x:v>Project owner/investor dengan kebutuhan lahan</x:v>
      </x:c>
      <x:c r="F22" s="99" t="str">
        <x:v>Risiko status dan kesiapan lahan menghambat proyek</x:v>
      </x:c>
      <x:c r="G22" s="99" t="str">
        <x:v>Opportunity audit; belum approved</x:v>
      </x:c>
      <x:c r="H22" s="134" t="str">
        <x:v>C</x:v>
      </x:c>
      <x:c r="I22" s="99" t="str">
        <x:v>Partner-Based</x:v>
      </x:c>
      <x:c r="J22" s="99" t="str">
        <x:v>High-ticket tetapi tidak sesuai tim kecil tanpa expert bench</x:v>
      </x:c>
      <x:c r="K22" s="99" t="str">
        <x:v>Nilai transaksi dan urgency potensial tinggi</x:v>
      </x:c>
      <x:c r="L22" s="99" t="str">
        <x:v>Keahlian spesifik, data lapangan, dan liability tinggi</x:v>
      </x:c>
      <x:c r="M22" s="99" t="str">
        <x:v>Title disputes, incomplete records, reputational/legal risk</x:v>
      </x:c>
      <x:c r="N22" s="100" t="str">
        <x:v>S03 T11; S11 p.7</x:v>
      </x:c>
    </x:row>
    <x:row r="23" ht="48" customHeight="1">
      <x:c r="A23" s="98" t="str">
        <x:v>L18</x:v>
      </x:c>
      <x:c r="B23" s="99" t="str">
        <x:v>Perizinan lingkungan</x:v>
      </x:c>
      <x:c r="C23" s="99" t="str">
        <x:v>Persetujuan lingkungan</x:v>
      </x:c>
      <x:c r="D23" s="99" t="str">
        <x:v>SPPL; UKL-UPL; AMDAL; environmental prerequisites</x:v>
      </x:c>
      <x:c r="E23" s="99" t="str">
        <x:v>Proyek/pabrik dengan kewajiban lingkungan</x:v>
      </x:c>
      <x:c r="F23" s="99" t="str">
        <x:v>Operasi/proyek tertahan oleh dokumen lingkungan</x:v>
      </x:c>
      <x:c r="G23" s="99" t="str">
        <x:v>Prototype; website menyebut ahli</x:v>
      </x:c>
      <x:c r="H23" s="132" t="str">
        <x:v>B</x:v>
      </x:c>
      <x:c r="I23" s="99" t="str">
        <x:v>Partner-Based</x:v>
      </x:c>
      <x:c r="J23" s="99" t="str">
        <x:v>B hanya melalui partner; AMDAL kompleks dapat diperlakukan C per kasus</x:v>
      </x:c>
      <x:c r="K23" s="99" t="str">
        <x:v>Urgent, high-value, cross-sell kuat</x:v>
      </x:c>
      <x:c r="L23" s="99" t="str">
        <x:v>Ahli tersertifikasi, data teknis, konsultasi publik/lapangan, regulator</x:v>
      </x:c>
      <x:c r="M23" s="99" t="str">
        <x:v>Delay, technical error, public/stakeholder issue</x:v>
      </x:c>
      <x:c r="N23" s="100" t="str">
        <x:v>S10 home.ts; S11 pp.7-8</x:v>
      </x:c>
    </x:row>
    <x:row r="24" ht="48" customHeight="1">
      <x:c r="A24" s="98" t="str">
        <x:v>L19</x:v>
      </x:c>
      <x:c r="B24" s="99" t="str">
        <x:v>Bangunan, lokasi, dan pertanahan</x:v>
      </x:c>
      <x:c r="C24" s="99" t="str">
        <x:v>PBG dan SLF</x:v>
      </x:c>
      <x:c r="D24" s="99" t="str">
        <x:v>Persetujuan Bangunan Gedung; Sertifikat Laik Fungsi</x:v>
      </x:c>
      <x:c r="E24" s="99" t="str">
        <x:v>Pemilik bangunan, pabrik, gudang, developer</x:v>
      </x:c>
      <x:c r="F24" s="99" t="str">
        <x:v>Bangunan belum siap secara perizinan/fungsi</x:v>
      </x:c>
      <x:c r="G24" s="99" t="str">
        <x:v>Prototype</x:v>
      </x:c>
      <x:c r="H24" s="132" t="str">
        <x:v>B</x:v>
      </x:c>
      <x:c r="I24" s="99" t="str">
        <x:v>Partner-Based</x:v>
      </x:c>
      <x:c r="J24" s="99" t="str">
        <x:v>Layak sebagai module project, tidak sebagai in-house core</x:v>
      </x:c>
      <x:c r="K24" s="99" t="str">
        <x:v>High-ticket dan jelas terkait proyek</x:v>
      </x:c>
      <x:c r="L24" s="99" t="str">
        <x:v>Technical drawings, inspections, local authority, field coordination</x:v>
      </x:c>
      <x:c r="M24" s="99" t="str">
        <x:v>Delay, technical non-conformance, complaint</x:v>
      </x:c>
      <x:c r="N24" s="100" t="str">
        <x:v>S10 home.ts; S11 pp.7-8</x:v>
      </x:c>
    </x:row>
    <x:row r="25" ht="48" customHeight="1">
      <x:c r="A25" s="98" t="str">
        <x:v>L20</x:v>
      </x:c>
      <x:c r="B25" s="99" t="str">
        <x:v>Industri dan pabrik</x:v>
      </x:c>
      <x:c r="C25" s="99" t="str">
        <x:v>Perizinan industri dan manufaktur</x:v>
      </x:c>
      <x:c r="D25" s="99" t="str">
        <x:v>Industrial/manufacturing permits; project readiness; operational compliance</x:v>
      </x:c>
      <x:c r="E25" s="99" t="str">
        <x:v>Manufacturer, factory investor, industrial project owner</x:v>
      </x:c>
      <x:c r="F25" s="99" t="str">
        <x:v>Rangkaian izin lokasi-lingkungan-bangunan-operasi tidak terkendali</x:v>
      </x:c>
      <x:c r="G25" s="99" t="str">
        <x:v>Prototype; capability proof belum</x:v>
      </x:c>
      <x:c r="H25" s="132" t="str">
        <x:v>B</x:v>
      </x:c>
      <x:c r="I25" s="99" t="str">
        <x:v>Controlled Growth</x:v>
      </x:c>
      <x:c r="J25" s="99" t="str">
        <x:v>Menarik sebagai growth vertical, bukan lean launch universal</x:v>
      </x:c>
      <x:c r="K25" s="99" t="str">
        <x:v>High-ticket, buyer ability tinggi, portfolio dan SEO kuat</x:v>
      </x:c>
      <x:c r="L25" s="99" t="str">
        <x:v>Long cycle, banyak ahli, fieldwork, dan authority dependency</x:v>
      </x:c>
      <x:c r="M25" s="99" t="str">
        <x:v>Schedule/reputation exposure dan client blame</x:v>
      </x:c>
      <x:c r="N25" s="100" t="str">
        <x:v>S10 home.ts; S11 pp.7-8</x:v>
      </x:c>
    </x:row>
    <x:row r="26" ht="48" customHeight="1">
      <x:c r="A26" s="98" t="str">
        <x:v>L21</x:v>
      </x:c>
      <x:c r="B26" s="99" t="str">
        <x:v>Konstruksi</x:v>
      </x:c>
      <x:c r="C26" s="99" t="str">
        <x:v>Construction Tender-Ready</x:v>
      </x:c>
      <x:c r="D26" s="99" t="str">
        <x:v>SBUJK/SBU; TKK; SMAP; tender documents; contracts/compliance</x:v>
      </x:c>
      <x:c r="E26" s="99" t="str">
        <x:v>Kontraktor yang mengejar tender</x:v>
      </x:c>
      <x:c r="F26" s="99" t="str">
        <x:v>Kelayakan administrasi dan compliance tender belum lengkap</x:v>
      </x:c>
      <x:c r="G26" s="99" t="str">
        <x:v>Opportunity audit</x:v>
      </x:c>
      <x:c r="H26" s="132" t="str">
        <x:v>B</x:v>
      </x:c>
      <x:c r="I26" s="99" t="str">
        <x:v>Experimental</x:v>
      </x:c>
      <x:c r="J26" s="99" t="str">
        <x:v>Potensial tetapi tidak ada bukti kompetensi internal</x:v>
      </x:c>
      <x:c r="K26" s="99" t="str">
        <x:v>Urgent, commercial outcome jelas, packageable</x:v>
      </x:c>
      <x:c r="L26" s="99" t="str">
        <x:v>Aturan tender/sertifikasi berubah; expert/partner dependency</x:v>
      </x:c>
      <x:c r="M26" s="99" t="str">
        <x:v>Disqualification, timeline pressure, scope creep</x:v>
      </x:c>
      <x:c r="N26" s="100" t="str">
        <x:v>S10 home.ts; S11 pp.5,8</x:v>
      </x:c>
    </x:row>
    <x:row r="27" ht="48" customHeight="1">
      <x:c r="A27" s="98" t="str">
        <x:v>L22</x:v>
      </x:c>
      <x:c r="B27" s="99" t="str">
        <x:v>Perdagangan dan distribusi</x:v>
      </x:c>
      <x:c r="C27" s="99" t="str">
        <x:v>Perizinan perdagangan dan distribusi</x:v>
      </x:c>
      <x:c r="D27" s="99" t="str">
        <x:v>Trade/distribution permits; operational support</x:v>
      </x:c>
      <x:c r="E27" s="99" t="str">
        <x:v>Distributor dan trader</x:v>
      </x:c>
      <x:c r="F27" s="99" t="str">
        <x:v>Izin operasi/distribusi belum selaras</x:v>
      </x:c>
      <x:c r="G27" s="99" t="str">
        <x:v>Prototype</x:v>
      </x:c>
      <x:c r="H27" s="134" t="str">
        <x:v>C</x:v>
      </x:c>
      <x:c r="I27" s="99" t="str">
        <x:v>Ditunda</x:v>
      </x:c>
      <x:c r="J27" s="99" t="str">
        <x:v>Tidak cukup spesifik untuk high-ticket headline</x:v>
      </x:c>
      <x:c r="K27" s="99" t="str">
        <x:v>Cross-sell ke product/import dan KBLI</x:v>
      </x:c>
      <x:c r="L27" s="99" t="str">
        <x:v>Istilah luas; value dan demand tidak terukur</x:v>
      </x:c>
      <x:c r="M27" s="99" t="str">
        <x:v>Long-tail scope dan regulatory variance</x:v>
      </x:c>
      <x:c r="N27" s="100" t="str">
        <x:v>S10 home.ts; S11 pp.4-5</x:v>
      </x:c>
    </x:row>
    <x:row r="28" ht="48" customHeight="1">
      <x:c r="A28" s="98" t="str">
        <x:v>L23</x:v>
      </x:c>
      <x:c r="B28" s="99" t="str">
        <x:v>Perdagangan dan distribusi</x:v>
      </x:c>
      <x:c r="C28" s="99" t="str">
        <x:v>Perizinan ekspor-impor</x:v>
      </x:c>
      <x:c r="D28" s="99" t="str">
        <x:v>Import/export readiness; supporting permits; distributor requirements</x:v>
      </x:c>
      <x:c r="E28" s="99" t="str">
        <x:v>Importer/exporter dan manufacturer</x:v>
      </x:c>
      <x:c r="F28" s="99" t="str">
        <x:v>Kegiatan lintas batas tertahan oleh izin/administrasi</x:v>
      </x:c>
      <x:c r="G28" s="99" t="str">
        <x:v>Opportunity audit</x:v>
      </x:c>
      <x:c r="H28" s="132" t="str">
        <x:v>B</x:v>
      </x:c>
      <x:c r="I28" s="99" t="str">
        <x:v>Controlled Growth</x:v>
      </x:c>
      <x:c r="J28" s="99" t="str">
        <x:v>B selektif; perlu vertical validation</x:v>
      </x:c>
      <x:c r="K28" s="99" t="str">
        <x:v>Urgency dan ability to pay cukup; cross-sell product compliance</x:v>
      </x:c>
      <x:c r="L28" s="99" t="str">
        <x:v>Dependensi komoditas, kepabeanan, dan partner</x:v>
      </x:c>
      <x:c r="M28" s="99" t="str">
        <x:v>Shipment delay, changing rules, incorrect classification</x:v>
      </x:c>
      <x:c r="N28" s="100" t="str">
        <x:v>S11 pp.5-6</x:v>
      </x:c>
    </x:row>
    <x:row r="29" ht="48" customHeight="1">
      <x:c r="A29" s="98" t="str">
        <x:v>L24</x:v>
      </x:c>
      <x:c r="B29" s="99" t="str">
        <x:v>Digital dan data</x:v>
      </x:c>
      <x:c r="C29" s="99" t="str">
        <x:v>Digital Platform Legal-Ready</x:v>
      </x:c>
      <x:c r="D29" s="99" t="str">
        <x:v>PT/NIB; PSE/TDPSE; privacy/ToS/DPA/PDP screen; OJK/BI screening</x:v>
      </x:c>
      <x:c r="E29" s="99" t="str">
        <x:v>Digital platform, startup, dan operator sistem elektronik</x:v>
      </x:c>
      <x:c r="F29" s="99" t="str">
        <x:v>Platform belum memiliki legal-regulatory readiness yang koheren</x:v>
      </x:c>
      <x:c r="G29" s="99" t="str">
        <x:v>Package opportunity; belum approved</x:v>
      </x:c>
      <x:c r="H29" s="132" t="str">
        <x:v>B</x:v>
      </x:c>
      <x:c r="I29" s="99" t="str">
        <x:v>Experimental</x:v>
      </x:c>
      <x:c r="J29" s="99" t="str">
        <x:v>Strategic adjacency kuat tetapi belum core dan proof belum ada</x:v>
      </x:c>
      <x:c r="K29" s="99" t="str">
        <x:v>Packageable; SEO/media kuat; cocok dengan agency adjacency</x:v>
      </x:c>
      <x:c r="L29" s="99" t="str">
        <x:v>Perubahan regulasi dan kebutuhan legal specialist tinggi</x:v>
      </x:c>
      <x:c r="M29" s="99" t="str">
        <x:v>Advice liability, privacy incident, regulated activity misclassification</x:v>
      </x:c>
      <x:c r="N29" s="100" t="str">
        <x:v>S11 pp.7-8</x:v>
      </x:c>
    </x:row>
    <x:row r="30" ht="48" customHeight="1">
      <x:c r="A30" s="98" t="str">
        <x:v>L25</x:v>
      </x:c>
      <x:c r="B30" s="99" t="str">
        <x:v>Makanan dan produk</x:v>
      </x:c>
      <x:c r="C30" s="99" t="str">
        <x:v>F&amp;B Market-Ready package</x:v>
      </x:c>
      <x:c r="D30" s="99" t="str">
        <x:v>NIB; SPP-IRT/BPOM; halal; SLHS; trademark; contracts</x:v>
      </x:c>
      <x:c r="E30" s="99" t="str">
        <x:v>Produsen makanan/minuman yang akan masuk pasar</x:v>
      </x:c>
      <x:c r="F30" s="99" t="str">
        <x:v>Beberapa izin produk dan brand harus tersinkron</x:v>
      </x:c>
      <x:c r="G30" s="99" t="str">
        <x:v>Package opportunity; belum approved</x:v>
      </x:c>
      <x:c r="H30" s="132" t="str">
        <x:v>B</x:v>
      </x:c>
      <x:c r="I30" s="99" t="str">
        <x:v>Experimental</x:v>
      </x:c>
      <x:c r="J30" s="99" t="str">
        <x:v>Package lebih menarik daripada menjual komponen standalone</x:v>
      </x:c>
      <x:c r="K30" s="99" t="str">
        <x:v>Clear outcome; content/social potential tinggi; bundle menaikkan value</x:v>
      </x:c>
      <x:c r="L30" s="99" t="str">
        <x:v>Banyak sub-otoritas dan volume klien dapat membebani komunikasi</x:v>
      </x:c>
      <x:c r="M30" s="99" t="str">
        <x:v>Label/formula changes, inspection, partner delays</x:v>
      </x:c>
      <x:c r="N30" s="100" t="str">
        <x:v>S11 pp.4,8</x:v>
      </x:c>
    </x:row>
    <x:row r="31" ht="48" customHeight="1">
      <x:c r="A31" s="98" t="str">
        <x:v>L26</x:v>
      </x:c>
      <x:c r="B31" s="99" t="str">
        <x:v>Makanan dan produk</x:v>
      </x:c>
      <x:c r="C31" s="99" t="str">
        <x:v>SPP-IRT standalone</x:v>
      </x:c>
      <x:c r="D31" s="99" t="str">
        <x:v>SPP-IRT</x:v>
      </x:c>
      <x:c r="E31" s="99" t="str">
        <x:v>UMKM produsen pangan tertentu</x:v>
      </x:c>
      <x:c r="F31" s="99" t="str">
        <x:v>Izin produk dasar diperlukan</x:v>
      </x:c>
      <x:c r="G31" s="99" t="str">
        <x:v>Hanya audit kompetitor</x:v>
      </x:c>
      <x:c r="H31" s="134" t="str">
        <x:v>C</x:v>
      </x:c>
      <x:c r="I31" s="99" t="str">
        <x:v>Dieliminasi</x:v>
      </x:c>
      <x:c r="J31" s="99" t="str">
        <x:v>Beban operasional/konten tidak sebanding nilai</x:v>
      </x:c>
      <x:c r="K31" s="99" t="str">
        <x:v>Demand luas dan content mudah</x:v>
      </x:c>
      <x:c r="L31" s="99" t="str">
        <x:v>Low-ticket, komunikasi tinggi, tidak sesuai target high-ticket</x:v>
      </x:c>
      <x:c r="M31" s="99" t="str">
        <x:v>Price shopping dan volume support</x:v>
      </x:c>
      <x:c r="N31" s="100" t="str">
        <x:v>S11 pp.4,6</x:v>
      </x:c>
    </x:row>
    <x:row r="32" ht="48" customHeight="1">
      <x:c r="A32" s="98" t="str">
        <x:v>L27</x:v>
      </x:c>
      <x:c r="B32" s="99" t="str">
        <x:v>Makanan dan produk</x:v>
      </x:c>
      <x:c r="C32" s="99" t="str">
        <x:v>BPOM advanced</x:v>
      </x:c>
      <x:c r="D32" s="99" t="str">
        <x:v>Registrasi produk; label/formula; import/distributor changes; compliance</x:v>
      </x:c>
      <x:c r="E32" s="99" t="str">
        <x:v>Produsen/importir dengan portfolio produk</x:v>
      </x:c>
      <x:c r="F32" s="99" t="str">
        <x:v>Akses pasar bergantung pada registrasi dan compliance produk</x:v>
      </x:c>
      <x:c r="G32" s="99" t="str">
        <x:v>Opportunity audit</x:v>
      </x:c>
      <x:c r="H32" s="132" t="str">
        <x:v>B</x:v>
      </x:c>
      <x:c r="I32" s="99" t="str">
        <x:v>Partner-Based</x:v>
      </x:c>
      <x:c r="J32" s="99" t="str">
        <x:v>B melalui partner; bukan capability internal yang terbukti</x:v>
      </x:c>
      <x:c r="K32" s="99" t="str">
        <x:v>High-value dan repeat dari perubahan produk</x:v>
      </x:c>
      <x:c r="L32" s="99" t="str">
        <x:v>Expertise, inspection, dossier, dan regulator dependency tinggi</x:v>
      </x:c>
      <x:c r="M32" s="99" t="str">
        <x:v>Rejection/delay, technical errors, reputational exposure</x:v>
      </x:c>
      <x:c r="N32" s="100" t="str">
        <x:v>S11 pp.4,7-8</x:v>
      </x:c>
    </x:row>
    <x:row r="33" ht="48" customHeight="1">
      <x:c r="A33" s="98" t="str">
        <x:v>L28</x:v>
      </x:c>
      <x:c r="B33" s="99" t="str">
        <x:v>Makanan dan produk</x:v>
      </x:c>
      <x:c r="C33" s="99" t="str">
        <x:v>Sertifikasi halal standalone</x:v>
      </x:c>
      <x:c r="D33" s="99" t="str">
        <x:v>Halal certification support</x:v>
      </x:c>
      <x:c r="E33" s="99" t="str">
        <x:v>Pelaku usaha produk/jasa relevan</x:v>
      </x:c>
      <x:c r="F33" s="99" t="str">
        <x:v>Sertifikasi dibutuhkan untuk akses pasar/compliance</x:v>
      </x:c>
      <x:c r="G33" s="99" t="str">
        <x:v>Hanya audit kompetitor</x:v>
      </x:c>
      <x:c r="H33" s="134" t="str">
        <x:v>C</x:v>
      </x:c>
      <x:c r="I33" s="99" t="str">
        <x:v>Dieliminasi</x:v>
      </x:c>
      <x:c r="J33" s="99" t="str">
        <x:v>Tidak cocok sebagai core high-ticket</x:v>
      </x:c>
      <x:c r="K33" s="99" t="str">
        <x:v>Demand dan search potential tinggi</x:v>
      </x:c>
      <x:c r="L33" s="99" t="str">
        <x:v>Standalone berisiko price competition dan heavy updates</x:v>
      </x:c>
      <x:c r="M33" s="99" t="str">
        <x:v>Authority/inspection delays dan scope assumptions</x:v>
      </x:c>
      <x:c r="N33" s="100" t="str">
        <x:v>S11 pp.4,6</x:v>
      </x:c>
    </x:row>
    <x:row r="34" ht="48" customHeight="1">
      <x:c r="A34" s="98" t="str">
        <x:v>L29</x:v>
      </x:c>
      <x:c r="B34" s="99" t="str">
        <x:v>Makanan dan produk</x:v>
      </x:c>
      <x:c r="C34" s="99" t="str">
        <x:v>SNI dan sertifikasi produk</x:v>
      </x:c>
      <x:c r="D34" s="99" t="str">
        <x:v>SNI; product certification prerequisites</x:v>
      </x:c>
      <x:c r="E34" s="99" t="str">
        <x:v>Manufacturer/importer produk tertentu</x:v>
      </x:c>
      <x:c r="F34" s="99" t="str">
        <x:v>Produk memerlukan standard conformity</x:v>
      </x:c>
      <x:c r="G34" s="99" t="str">
        <x:v>Opportunity audit</x:v>
      </x:c>
      <x:c r="H34" s="134" t="str">
        <x:v>C</x:v>
      </x:c>
      <x:c r="I34" s="99" t="str">
        <x:v>Partner-Based</x:v>
      </x:c>
      <x:c r="J34" s="99" t="str">
        <x:v>Tidak ada bukti capability; conditional only</x:v>
      </x:c>
      <x:c r="K34" s="99" t="str">
        <x:v>Nilai dapat tinggi untuk produk wajib</x:v>
      </x:c>
      <x:c r="L34" s="99" t="str">
        <x:v>Laboratorium, sertifikasi, dan technical partner dependency</x:v>
      </x:c>
      <x:c r="M34" s="99" t="str">
        <x:v>Test failure, delay, cost escalation</x:v>
      </x:c>
      <x:c r="N34" s="100" t="str">
        <x:v>S11 pp.4,6</x:v>
      </x:c>
    </x:row>
    <x:row r="35" ht="48" customHeight="1">
      <x:c r="A35" s="98" t="str">
        <x:v>L30</x:v>
      </x:c>
      <x:c r="B35" s="99" t="str">
        <x:v>Kesehatan dan alat kesehatan</x:v>
      </x:c>
      <x:c r="C35" s="99" t="str">
        <x:v>Healthcare Market Access</x:v>
      </x:c>
      <x:c r="D35" s="99" t="str">
        <x:v>Clinic/facility permits; IDAK/CDAKB; product/label; inspection/audit</x:v>
      </x:c>
      <x:c r="E35" s="99" t="str">
        <x:v>Healthcare operator, distributor, pharma/medical device company</x:v>
      </x:c>
      <x:c r="F35" s="99" t="str">
        <x:v>Multiple permits and inspections block market access</x:v>
      </x:c>
      <x:c r="G35" s="99" t="str">
        <x:v>Opportunity audit; no proof</x:v>
      </x:c>
      <x:c r="H35" s="134" t="str">
        <x:v>C</x:v>
      </x:c>
      <x:c r="I35" s="99" t="str">
        <x:v>Ditunda</x:v>
      </x:c>
      <x:c r="J35" s="99" t="str">
        <x:v>Attractive economically but incompatible with current unproven capability</x:v>
      </x:c>
      <x:c r="K35" s="99" t="str">
        <x:v>High-ticket, urgent, buyer ability tinggi</x:v>
      </x:c>
      <x:c r="L35" s="99" t="str">
        <x:v>Very high expertise, inspection, reputation, and regulatory burden</x:v>
      </x:c>
      <x:c r="M35" s="99" t="str">
        <x:v>Patient/public safety, sanctions, audit failure</x:v>
      </x:c>
      <x:c r="N35" s="100" t="str">
        <x:v>S11 pp.5,7-8</x:v>
      </x:c>
    </x:row>
    <x:row r="36" ht="48" customHeight="1">
      <x:c r="A36" s="98" t="str">
        <x:v>L31</x:v>
      </x:c>
      <x:c r="B36" s="99" t="str">
        <x:v>Keuangan dan sektor khusus</x:v>
      </x:c>
      <x:c r="C36" s="99" t="str">
        <x:v>OJK/BI regulated licensing</x:v>
      </x:c>
      <x:c r="D36" s="99" t="str">
        <x:v>OJK/BI screening and licensing support</x:v>
      </x:c>
      <x:c r="E36" s="99" t="str">
        <x:v>Regulated financial/digital finance businesses</x:v>
      </x:c>
      <x:c r="F36" s="99" t="str">
        <x:v>Business model may require regulator approval</x:v>
      </x:c>
      <x:c r="G36" s="99" t="str">
        <x:v>Opportunity audit; no proof</x:v>
      </x:c>
      <x:c r="H36" s="134" t="str">
        <x:v>C</x:v>
      </x:c>
      <x:c r="I36" s="99" t="str">
        <x:v>Ditunda</x:v>
      </x:c>
      <x:c r="J36" s="99" t="str">
        <x:v>Do not publish before capability proof and approval</x:v>
      </x:c>
      <x:c r="K36" s="99" t="str">
        <x:v>High-ticket and buyer ability strong</x:v>
      </x:c>
      <x:c r="L36" s="99" t="str">
        <x:v>Trust, specialist counsel, long process, reputational stakes</x:v>
      </x:c>
      <x:c r="M36" s="99" t="str">
        <x:v>Regulatory breach and high liability</x:v>
      </x:c>
      <x:c r="N36" s="100" t="str">
        <x:v>S11 pp.2,7</x:v>
      </x:c>
    </x:row>
    <x:row r="37" ht="48" customHeight="1">
      <x:c r="A37" s="98" t="str">
        <x:v>L32</x:v>
      </x:c>
      <x:c r="B37" s="99" t="str">
        <x:v>Sektor khusus</x:v>
      </x:c>
      <x:c r="C37" s="99" t="str">
        <x:v>Pertambangan dan energi</x:v>
      </x:c>
      <x:c r="D37" s="99" t="str">
        <x:v>Mining/energy licensing and project support</x:v>
      </x:c>
      <x:c r="E37" s="99" t="str">
        <x:v>Mining/energy project owners</x:v>
      </x:c>
      <x:c r="F37" s="99" t="str">
        <x:v>Project cannot operate without complex permits</x:v>
      </x:c>
      <x:c r="G37" s="99" t="str">
        <x:v>Opportunity audit; no proof</x:v>
      </x:c>
      <x:c r="H37" s="134" t="str">
        <x:v>C</x:v>
      </x:c>
      <x:c r="I37" s="99" t="str">
        <x:v>Ditunda</x:v>
      </x:c>
      <x:c r="J37" s="99" t="str">
        <x:v>Not viable for lean launch despite transaction value</x:v>
      </x:c>
      <x:c r="K37" s="99" t="str">
        <x:v>High-ticket, high urgency, low generic competition</x:v>
      </x:c>
      <x:c r="L37" s="99" t="str">
        <x:v>Network, technical experts, location, regulator, and fieldwork intensive</x:v>
      </x:c>
      <x:c r="M37" s="99" t="str">
        <x:v>Severe delay/reputation/compliance exposure</x:v>
      </x:c>
      <x:c r="N37" s="100" t="str">
        <x:v>S11 pp.2,7</x:v>
      </x:c>
    </x:row>
    <x:row r="38" ht="48" customHeight="1">
      <x:c r="A38" s="98" t="str">
        <x:v>L33</x:v>
      </x:c>
      <x:c r="B38" s="99" t="str">
        <x:v>Sektor khusus</x:v>
      </x:c>
      <x:c r="C38" s="99" t="str">
        <x:v>Pertanian, perikanan, dan kehutanan</x:v>
      </x:c>
      <x:c r="D38" s="99" t="str">
        <x:v>Sector-specific operational/project permits</x:v>
      </x:c>
      <x:c r="E38" s="99" t="str">
        <x:v>Operators in natural-resource sectors</x:v>
      </x:c>
      <x:c r="F38" s="99" t="str">
        <x:v>Sector permits and technical conditions need coordination</x:v>
      </x:c>
      <x:c r="G38" s="99" t="str">
        <x:v>Opportunity audit</x:v>
      </x:c>
      <x:c r="H38" s="134" t="str">
        <x:v>C</x:v>
      </x:c>
      <x:c r="I38" s="99" t="str">
        <x:v>Ditunda</x:v>
      </x:c>
      <x:c r="J38" s="99" t="str">
        <x:v>No evidence to prioritize over better-supported opportunities</x:v>
      </x:c>
      <x:c r="K38" s="99" t="str">
        <x:v>Potential project value</x:v>
      </x:c>
      <x:c r="L38" s="99" t="str">
        <x:v>Demand, margin, capability, and partner network unvalidated</x:v>
      </x:c>
      <x:c r="M38" s="99" t="str">
        <x:v>Fieldwork, regional variance, authority dependency</x:v>
      </x:c>
      <x:c r="N38" s="100" t="str">
        <x:v>S11 p.7</x:v>
      </x:c>
    </x:row>
    <x:row r="39" ht="48" customHeight="1">
      <x:c r="A39" s="98" t="str">
        <x:v>L34</x:v>
      </x:c>
      <x:c r="B39" s="99" t="str">
        <x:v>Sektor khusus</x:v>
      </x:c>
      <x:c r="C39" s="99" t="str">
        <x:v>Transportasi dan logistik advanced</x:v>
      </x:c>
      <x:c r="D39" s="99" t="str">
        <x:v>Advanced transport/logistics permits</x:v>
      </x:c>
      <x:c r="E39" s="99" t="str">
        <x:v>Transport/logistics operators</x:v>
      </x:c>
      <x:c r="F39" s="99" t="str">
        <x:v>Operational permits may block activity</x:v>
      </x:c>
      <x:c r="G39" s="99" t="str">
        <x:v>Opportunity audit</x:v>
      </x:c>
      <x:c r="H39" s="134" t="str">
        <x:v>C</x:v>
      </x:c>
      <x:c r="I39" s="99" t="str">
        <x:v>Ditunda</x:v>
      </x:c>
      <x:c r="J39" s="99" t="str">
        <x:v>Too broad and unvalidated</x:v>
      </x:c>
      <x:c r="K39" s="99" t="str">
        <x:v>Potential B2B value</x:v>
      </x:c>
      <x:c r="L39" s="99" t="str">
        <x:v>Technical and sector variation; no proof</x:v>
      </x:c>
      <x:c r="M39" s="99" t="str">
        <x:v>Safety/reputation and regulatory change</x:v>
      </x:c>
      <x:c r="N39" s="100" t="str">
        <x:v>S11 p.7</x:v>
      </x:c>
    </x:row>
    <x:row r="40" ht="48" customHeight="1">
      <x:c r="A40" s="98" t="str">
        <x:v>L35</x:v>
      </x:c>
      <x:c r="B40" s="99" t="str">
        <x:v>Layanan legal pendukung</x:v>
      </x:c>
      <x:c r="C40" s="99" t="str">
        <x:v>Merek dan HAKI</x:v>
      </x:c>
      <x:c r="D40" s="99" t="str">
        <x:v>Trademark; basic IP filings</x:v>
      </x:c>
      <x:c r="E40" s="99" t="str">
        <x:v>Businesses protecting brand/product</x:v>
      </x:c>
      <x:c r="F40" s="99" t="str">
        <x:v>Brand assets need protection</x:v>
      </x:c>
      <x:c r="G40" s="99" t="str">
        <x:v>Prototype</x:v>
      </x:c>
      <x:c r="H40" s="134" t="str">
        <x:v>C</x:v>
      </x:c>
      <x:c r="I40" s="99" t="str">
        <x:v>Partner-Based</x:v>
      </x:c>
      <x:c r="J40" s="99" t="str">
        <x:v>Supporting module, not high-ticket core</x:v>
      </x:c>
      <x:c r="K40" s="99" t="str">
        <x:v>Natural cross-sell and content relevance</x:v>
      </x:c>
      <x:c r="L40" s="99" t="str">
        <x:v>Crowded, price-comparable, not core permit-first</x:v>
      </x:c>
      <x:c r="M40" s="99" t="str">
        <x:v>Opposition/rejection and expectation mismatch</x:v>
      </x:c>
      <x:c r="N40" s="100" t="str">
        <x:v>S10 home.ts; S11 pp.3-4</x:v>
      </x:c>
    </x:row>
    <x:row r="41" ht="48" customHeight="1">
      <x:c r="A41" s="98" t="str">
        <x:v>L36</x:v>
      </x:c>
      <x:c r="B41" s="99" t="str">
        <x:v>Layanan legal pendukung</x:v>
      </x:c>
      <x:c r="C41" s="99" t="str">
        <x:v>Dokumen legal dan kontrak pendukung</x:v>
      </x:c>
      <x:c r="D41" s="99" t="str">
        <x:v>Agreements; corporate documents; project/commercial support</x:v>
      </x:c>
      <x:c r="E41" s="99" t="str">
        <x:v>Clients whose permit project needs legal documents</x:v>
      </x:c>
      <x:c r="F41" s="99" t="str">
        <x:v>Permit execution requires supporting legal documentation</x:v>
      </x:c>
      <x:c r="G41" s="99" t="str">
        <x:v>Support concept; details unapproved</x:v>
      </x:c>
      <x:c r="H41" s="132" t="str">
        <x:v>B</x:v>
      </x:c>
      <x:c r="I41" s="99" t="str">
        <x:v>Partner-Based</x:v>
      </x:c>
      <x:c r="J41" s="99" t="str">
        <x:v>Useful support, not a separate top-level pillar</x:v>
      </x:c>
      <x:c r="K41" s="99" t="str">
        <x:v>Cross-sell and outcome coherence</x:v>
      </x:c>
      <x:c r="L41" s="99" t="str">
        <x:v>Can pull brand back into generic law-firm scope</x:v>
      </x:c>
      <x:c r="M41" s="99" t="str">
        <x:v>Unauthorized/unqualified advice, scope creep</x:v>
      </x:c>
      <x:c r="N41" s="100" t="str">
        <x:v>S03 T7; S11 p.3</x:v>
      </x:c>
    </x:row>
    <x:row r="42" ht="48" customHeight="1">
      <x:c r="A42" s="98" t="str">
        <x:v>L37</x:v>
      </x:c>
      <x:c r="B42" s="99" t="str">
        <x:v>Administrasi pendukung</x:v>
      </x:c>
      <x:c r="C42" s="99" t="str">
        <x:v>Administrasi pajak dasar</x:v>
      </x:c>
      <x:c r="D42" s="99" t="str">
        <x:v>Basic tax registration/admin</x:v>
      </x:c>
      <x:c r="E42" s="99" t="str">
        <x:v>New businesses</x:v>
      </x:c>
      <x:c r="F42" s="99" t="str">
        <x:v>Basic registration needed</x:v>
      </x:c>
      <x:c r="G42" s="99" t="str">
        <x:v>Audit competitor only</x:v>
      </x:c>
      <x:c r="H42" s="134" t="str">
        <x:v>C</x:v>
      </x:c>
      <x:c r="I42" s="99" t="str">
        <x:v>Dieliminasi</x:v>
      </x:c>
      <x:c r="J42" s="99" t="str">
        <x:v>No evidence of strategic advantage</x:v>
      </x:c>
      <x:c r="K42" s="99" t="str">
        <x:v>Can complete setup bundle</x:v>
      </x:c>
      <x:c r="L42" s="99" t="str">
        <x:v>Low-ticket, crowded, outside strongest positioning</x:v>
      </x:c>
      <x:c r="M42" s="99" t="str">
        <x:v>Scope drift and specialist dependency</x:v>
      </x:c>
      <x:c r="N42" s="100" t="str">
        <x:v>S11 p.3</x:v>
      </x:c>
    </x:row>
    <x:row r="43" ht="48" customHeight="1">
      <x:c r="A43" s="98" t="str">
        <x:v>L38</x:v>
      </x:c>
      <x:c r="B43" s="99" t="str">
        <x:v>Administrasi pendukung</x:v>
      </x:c>
      <x:c r="C43" s="99" t="str">
        <x:v>Virtual office dan administrasi umum</x:v>
      </x:c>
      <x:c r="D43" s="99" t="str">
        <x:v>Virtual office; generic admin support</x:v>
      </x:c>
      <x:c r="E43" s="99" t="str">
        <x:v>New/small businesses</x:v>
      </x:c>
      <x:c r="F43" s="99" t="str">
        <x:v>Need address/admin convenience</x:v>
      </x:c>
      <x:c r="G43" s="99" t="str">
        <x:v>Audit competitor only</x:v>
      </x:c>
      <x:c r="H43" s="134" t="str">
        <x:v>C</x:v>
      </x:c>
      <x:c r="I43" s="99" t="str">
        <x:v>Dieliminasi</x:v>
      </x:c>
      <x:c r="J43" s="99" t="str">
        <x:v>Directly conflicts with lean high-ticket objective</x:v>
      </x:c>
      <x:c r="K43" s="99" t="str">
        <x:v>Easy cross-sell</x:v>
      </x:c>
      <x:c r="L43" s="99" t="str">
        <x:v>Commodity, operational distraction, no high-ticket fit</x:v>
      </x:c>
      <x:c r="M43" s="99" t="str">
        <x:v>Vendor complaints and brand dilution</x:v>
      </x:c>
      <x:c r="N43" s="100" t="str">
        <x:v>S11 pp.2-3</x:v>
      </x:c>
    </x:row>
    <x:row r="44" ht="48" customHeight="1">
      <x:c r="A44" s="101" t="str">
        <x:v>L39</x:v>
      </x:c>
      <x:c r="B44" s="102" t="str">
        <x:v>Long-tail sektoral</x:v>
      </x:c>
      <x:c r="C44" s="102" t="str">
        <x:v>Perizinan UMKM/jasa lain yang tidak terkurasi</x:v>
      </x:c>
      <x:c r="D44" s="102" t="str">
        <x:v>Generic MSME/service permits not otherwise specified</x:v>
      </x:c>
      <x:c r="E44" s="102" t="str">
        <x:v>Long-tail applicants</x:v>
      </x:c>
      <x:c r="F44" s="102" t="str">
        <x:v>Permit need varies by activity</x:v>
      </x:c>
      <x:c r="G44" s="102" t="str">
        <x:v>Not approved</x:v>
      </x:c>
      <x:c r="H44" s="138" t="str">
        <x:v>C</x:v>
      </x:c>
      <x:c r="I44" s="102" t="str">
        <x:v>Dieliminasi</x:v>
      </x:c>
      <x:c r="J44" s="102" t="str">
        <x:v>Website completeness would create disproportionate operating debt</x:v>
      </x:c>
      <x:c r="K44" s="102" t="str">
        <x:v>Long-tail traffic possible</x:v>
      </x:c>
      <x:c r="L44" s="102" t="str">
        <x:v>Infinite catalog/content/regulatory burden and weak SOP</x:v>
      </x:c>
      <x:c r="M44" s="102" t="str">
        <x:v>Overclaim, unqualified inquiries, maintenance failure</x:v>
      </x:c>
      <x:c r="N44" s="103" t="str">
        <x:v>S11 p.5; S12 paras 146-159</x:v>
      </x:c>
    </x:row>
  </x:sheetData>
  <x:mergeCells>
    <x:mergeCell ref="A1:N1"/>
    <x:mergeCell ref="A2:N2"/>
    <x:mergeCell ref="A3:N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4" hidden="0" customWidth="1"/>
  </x:cols>
  <x:sheetData>
    <x:row r="1" ht="34" customHeight="1">
      <x:c r="A1" s="4" t="str">
        <x:v>Service Scoring — 30 Criteria</x:v>
      </x:c>
      <x:c r="B1" s="4" t="str">
        <x:v>Service Scoring — 30 Criteria</x:v>
      </x:c>
      <x:c r="C1" s="4" t="str">
        <x:v>Service Scoring — 30 Criteria</x:v>
      </x:c>
      <x:c r="D1" s="4" t="str">
        <x:v>Service Scoring — 30 Criteria</x:v>
      </x:c>
      <x:c r="E1" s="4" t="str">
        <x:v>Service Scoring — 30 Criteria</x:v>
      </x:c>
      <x:c r="F1" s="4" t="str">
        <x:v>Service Scoring — 30 Criteria</x:v>
      </x:c>
      <x:c r="G1" s="4" t="str">
        <x:v>Service Scoring — 30 Criteria</x:v>
      </x:c>
      <x:c r="H1" s="4" t="str">
        <x:v>Service Scoring — 30 Criteria</x:v>
      </x:c>
      <x:c r="I1" s="4" t="str">
        <x:v>Service Scoring — 30 Criteria</x:v>
      </x:c>
      <x:c r="J1" s="4" t="str">
        <x:v>Service Scoring — 30 Criteria</x:v>
      </x:c>
      <x:c r="K1" s="4" t="str">
        <x:v>Service Scoring — 30 Criteria</x:v>
      </x:c>
      <x:c r="L1" s="4" t="str">
        <x:v>Service Scoring — 30 Criteria</x:v>
      </x:c>
      <x:c r="M1" s="4" t="str">
        <x:v>Service Scoring — 30 Criteria</x:v>
      </x:c>
      <x:c r="N1" s="4" t="str">
        <x:v>Service Scoring — 30 Criteria</x:v>
      </x:c>
      <x:c r="O1" s="4" t="str">
        <x:v>Service Scoring — 30 Criteria</x:v>
      </x:c>
      <x:c r="P1" s="4" t="str">
        <x:v>Service Scoring — 30 Criteria</x:v>
      </x:c>
      <x:c r="Q1" s="4" t="str">
        <x:v>Service Scoring — 30 Criteria</x:v>
      </x:c>
      <x:c r="R1" s="4" t="str">
        <x:v>Service Scoring — 30 Criteria</x:v>
      </x:c>
      <x:c r="S1" s="4" t="str">
        <x:v>Service Scoring — 30 Criteria</x:v>
      </x:c>
      <x:c r="T1" s="4" t="str">
        <x:v>Service Scoring — 30 Criteria</x:v>
      </x:c>
      <x:c r="U1" s="4" t="str">
        <x:v>Service Scoring — 30 Criteria</x:v>
      </x:c>
      <x:c r="V1" s="4" t="str">
        <x:v>Service Scoring — 30 Criteria</x:v>
      </x:c>
      <x:c r="W1" s="4" t="str">
        <x:v>Service Scoring — 30 Criteria</x:v>
      </x:c>
      <x:c r="X1" s="4" t="str">
        <x:v>Service Scoring — 30 Criteria</x:v>
      </x:c>
      <x:c r="Y1" s="4" t="str">
        <x:v>Service Scoring — 30 Criteria</x:v>
      </x:c>
      <x:c r="Z1" s="4" t="str">
        <x:v>Service Scoring — 30 Criteria</x:v>
      </x:c>
      <x:c r="AA1" s="4" t="str">
        <x:v>Service Scoring — 30 Criteria</x:v>
      </x:c>
      <x:c r="AB1" s="4" t="str">
        <x:v>Service Scoring — 30 Criteria</x:v>
      </x:c>
      <x:c r="AC1" s="4" t="str">
        <x:v>Service Scoring — 30 Criteria</x:v>
      </x:c>
      <x:c r="AD1" s="4" t="str">
        <x:v>Service Scoring — 30 Criteria</x:v>
      </x:c>
      <x:c r="AE1" s="4" t="str">
        <x:v>Service Scoring — 30 Criteria</x:v>
      </x:c>
      <x:c r="AF1" s="4" t="str">
        <x:v>Service Scoring — 30 Criteria</x:v>
      </x:c>
      <x:c r="AG1" s="4" t="str">
        <x:v>Service Scoring — 30 Criteria</x:v>
      </x:c>
      <x:c r="AH1" s="4" t="str">
        <x:v>Service Scoring — 30 Criteria</x:v>
      </x:c>
    </x:row>
    <x:row r="2" ht="28" customHeight="1">
      <x:c r="A2" s="7" t="str">
        <x:v>Yellow inputs are analytical assumptions.</x:v>
      </x:c>
      <x:c r="B2" s="7" t="str">
        <x:v>Yellow inputs are analytical assumptions.</x:v>
      </x:c>
      <x:c r="C2" s="7" t="str">
        <x:v>Yellow inputs are analytical assumptions.</x:v>
      </x:c>
      <x:c r="D2" s="7" t="str">
        <x:v>Yellow inputs are analytical assumptions.</x:v>
      </x:c>
      <x:c r="E2" s="7" t="str">
        <x:v>Yellow inputs are analytical assumptions.</x:v>
      </x:c>
      <x:c r="F2" s="7" t="str">
        <x:v>Yellow inputs are analytical assumptions.</x:v>
      </x:c>
      <x:c r="G2" s="7" t="str">
        <x:v>Yellow inputs are analytical assumptions.</x:v>
      </x:c>
      <x:c r="H2" s="7" t="str">
        <x:v>Yellow inputs are analytical assumptions.</x:v>
      </x:c>
      <x:c r="I2" s="7" t="str">
        <x:v>Yellow inputs are analytical assumptions.</x:v>
      </x:c>
      <x:c r="J2" s="7" t="str">
        <x:v>Yellow inputs are analytical assumptions.</x:v>
      </x:c>
      <x:c r="K2" s="7" t="str">
        <x:v>Yellow inputs are analytical assumptions.</x:v>
      </x:c>
      <x:c r="L2" s="7" t="str">
        <x:v>Yellow inputs are analytical assumptions.</x:v>
      </x:c>
      <x:c r="M2" s="7" t="str">
        <x:v>Yellow inputs are analytical assumptions.</x:v>
      </x:c>
      <x:c r="N2" s="7" t="str">
        <x:v>Yellow inputs are analytical assumptions.</x:v>
      </x:c>
      <x:c r="O2" s="7" t="str">
        <x:v>Yellow inputs are analytical assumptions.</x:v>
      </x:c>
      <x:c r="P2" s="7" t="str">
        <x:v>Yellow inputs are analytical assumptions.</x:v>
      </x:c>
      <x:c r="Q2" s="7" t="str">
        <x:v>Yellow inputs are analytical assumptions.</x:v>
      </x:c>
      <x:c r="R2" s="7" t="str">
        <x:v>Yellow inputs are analytical assumptions.</x:v>
      </x:c>
      <x:c r="S2" s="7" t="str">
        <x:v>Yellow inputs are analytical assumptions.</x:v>
      </x:c>
      <x:c r="T2" s="7" t="str">
        <x:v>Yellow inputs are analytical assumptions.</x:v>
      </x:c>
      <x:c r="U2" s="7" t="str">
        <x:v>Yellow inputs are analytical assumptions.</x:v>
      </x:c>
      <x:c r="V2" s="7" t="str">
        <x:v>Yellow inputs are analytical assumptions.</x:v>
      </x:c>
      <x:c r="W2" s="7" t="str">
        <x:v>Yellow inputs are analytical assumptions.</x:v>
      </x:c>
      <x:c r="X2" s="7" t="str">
        <x:v>Yellow inputs are analytical assumptions.</x:v>
      </x:c>
      <x:c r="Y2" s="7" t="str">
        <x:v>Yellow inputs are analytical assumptions.</x:v>
      </x:c>
      <x:c r="Z2" s="7" t="str">
        <x:v>Yellow inputs are analytical assumptions.</x:v>
      </x:c>
      <x:c r="AA2" s="7" t="str">
        <x:v>Yellow inputs are analytical assumptions.</x:v>
      </x:c>
      <x:c r="AB2" s="7" t="str">
        <x:v>Yellow inputs are analytical assumptions.</x:v>
      </x:c>
      <x:c r="AC2" s="7" t="str">
        <x:v>Yellow inputs are analytical assumptions.</x:v>
      </x:c>
      <x:c r="AD2" s="7" t="str">
        <x:v>Yellow inputs are analytical assumptions.</x:v>
      </x:c>
      <x:c r="AE2" s="7" t="str">
        <x:v>Yellow inputs are analytical assumptions.</x:v>
      </x:c>
      <x:c r="AF2" s="7" t="str">
        <x:v>Yellow inputs are analytical assumptions.</x:v>
      </x:c>
      <x:c r="AG2" s="7" t="str">
        <x:v>Yellow inputs are analytical assumptions.</x:v>
      </x:c>
      <x:c r="AH2" s="7" t="str">
        <x:v>Yellow inputs are analytical assumptions.</x:v>
      </x:c>
    </x:row>
    <x:row r="3" ht="30" customHeight="1">
      <x:c r="A3" s="10" t="str">
        <x:v>Composite reverses burden/risk criteria and normalizes to 1-5.</x:v>
      </x:c>
      <x:c r="B3" s="10" t="str">
        <x:v>Composite reverses burden/risk criteria and normalizes to 1-5.</x:v>
      </x:c>
      <x:c r="C3" s="10" t="str">
        <x:v>Composite reverses burden/risk criteria and normalizes to 1-5.</x:v>
      </x:c>
      <x:c r="D3" s="10" t="str">
        <x:v>Composite reverses burden/risk criteria and normalizes to 1-5.</x:v>
      </x:c>
      <x:c r="E3" s="10" t="str">
        <x:v>Composite reverses burden/risk criteria and normalizes to 1-5.</x:v>
      </x:c>
      <x:c r="F3" s="10" t="str">
        <x:v>Composite reverses burden/risk criteria and normalizes to 1-5.</x:v>
      </x:c>
      <x:c r="G3" s="10" t="str">
        <x:v>Composite reverses burden/risk criteria and normalizes to 1-5.</x:v>
      </x:c>
      <x:c r="H3" s="10" t="str">
        <x:v>Composite reverses burden/risk criteria and normalizes to 1-5.</x:v>
      </x:c>
      <x:c r="I3" s="10" t="str">
        <x:v>Composite reverses burden/risk criteria and normalizes to 1-5.</x:v>
      </x:c>
      <x:c r="J3" s="10" t="str">
        <x:v>Composite reverses burden/risk criteria and normalizes to 1-5.</x:v>
      </x:c>
      <x:c r="K3" s="10" t="str">
        <x:v>Composite reverses burden/risk criteria and normalizes to 1-5.</x:v>
      </x:c>
      <x:c r="L3" s="10" t="str">
        <x:v>Composite reverses burden/risk criteria and normalizes to 1-5.</x:v>
      </x:c>
      <x:c r="M3" s="10" t="str">
        <x:v>Composite reverses burden/risk criteria and normalizes to 1-5.</x:v>
      </x:c>
      <x:c r="N3" s="10" t="str">
        <x:v>Composite reverses burden/risk criteria and normalizes to 1-5.</x:v>
      </x:c>
      <x:c r="O3" s="10" t="str">
        <x:v>Composite reverses burden/risk criteria and normalizes to 1-5.</x:v>
      </x:c>
      <x:c r="P3" s="10" t="str">
        <x:v>Composite reverses burden/risk criteria and normalizes to 1-5.</x:v>
      </x:c>
      <x:c r="Q3" s="10" t="str">
        <x:v>Composite reverses burden/risk criteria and normalizes to 1-5.</x:v>
      </x:c>
      <x:c r="R3" s="10" t="str">
        <x:v>Composite reverses burden/risk criteria and normalizes to 1-5.</x:v>
      </x:c>
      <x:c r="S3" s="10" t="str">
        <x:v>Composite reverses burden/risk criteria and normalizes to 1-5.</x:v>
      </x:c>
      <x:c r="T3" s="10" t="str">
        <x:v>Composite reverses burden/risk criteria and normalizes to 1-5.</x:v>
      </x:c>
      <x:c r="U3" s="10" t="str">
        <x:v>Composite reverses burden/risk criteria and normalizes to 1-5.</x:v>
      </x:c>
      <x:c r="V3" s="10" t="str">
        <x:v>Composite reverses burden/risk criteria and normalizes to 1-5.</x:v>
      </x:c>
      <x:c r="W3" s="10" t="str">
        <x:v>Composite reverses burden/risk criteria and normalizes to 1-5.</x:v>
      </x:c>
      <x:c r="X3" s="10" t="str">
        <x:v>Composite reverses burden/risk criteria and normalizes to 1-5.</x:v>
      </x:c>
      <x:c r="Y3" s="10" t="str">
        <x:v>Composite reverses burden/risk criteria and normalizes to 1-5.</x:v>
      </x:c>
      <x:c r="Z3" s="10" t="str">
        <x:v>Composite reverses burden/risk criteria and normalizes to 1-5.</x:v>
      </x:c>
      <x:c r="AA3" s="10" t="str">
        <x:v>Composite reverses burden/risk criteria and normalizes to 1-5.</x:v>
      </x:c>
      <x:c r="AB3" s="10" t="str">
        <x:v>Composite reverses burden/risk criteria and normalizes to 1-5.</x:v>
      </x:c>
      <x:c r="AC3" s="10" t="str">
        <x:v>Composite reverses burden/risk criteria and normalizes to 1-5.</x:v>
      </x:c>
      <x:c r="AD3" s="10" t="str">
        <x:v>Composite reverses burden/risk criteria and normalizes to 1-5.</x:v>
      </x:c>
      <x:c r="AE3" s="10" t="str">
        <x:v>Composite reverses burden/risk criteria and normalizes to 1-5.</x:v>
      </x:c>
      <x:c r="AF3" s="10" t="str">
        <x:v>Composite reverses burden/risk criteria and normalizes to 1-5.</x:v>
      </x:c>
      <x:c r="AG3" s="10" t="str">
        <x:v>Composite reverses burden/risk criteria and normalizes to 1-5.</x:v>
      </x:c>
      <x:c r="AH3" s="10" t="str">
        <x:v>Composite reverses burden/risk criteria and normalizes to 1-5.</x:v>
      </x:c>
    </x:row>
    <x:row r="5" ht="34" customHeight="1">
      <x:c r="A5" s="22" t="str">
        <x:v>ID</x:v>
      </x:c>
      <x:c r="B5" s="23" t="str">
        <x:v>Service</x:v>
      </x:c>
      <x:c r="C5" s="23" t="str">
        <x:v>Manual grade</x:v>
      </x:c>
      <x:c r="D5" s="23" t="str">
        <x:v>Nilai transaksi</x:v>
      </x:c>
      <x:c r="E5" s="23" t="str">
        <x:v>Potensi margin</x:v>
      </x:c>
      <x:c r="F5" s="23" t="str">
        <x:v>Permintaan pasar</x:v>
      </x:c>
      <x:c r="G5" s="23" t="str">
        <x:v>Kemampuan membayar</x:v>
      </x:c>
      <x:c r="H5" s="23" t="str">
        <x:v>Daya tarik persaingan</x:v>
      </x:c>
      <x:c r="I5" s="23" t="str">
        <x:v>Urgensi</x:v>
      </x:c>
      <x:c r="J5" s="23" t="str">
        <x:v>Kompleksitas</x:v>
      </x:c>
      <x:c r="K5" s="23" t="str">
        <x:v>Lama proses</x:v>
      </x:c>
      <x:c r="L5" s="23" t="str">
        <x:v>Ketergantungan eksternal</x:v>
      </x:c>
      <x:c r="M5" s="23" t="str">
        <x:v>Risiko perubahan regulasi</x:v>
      </x:c>
      <x:c r="N5" s="23" t="str">
        <x:v>Risiko keterlambatan</x:v>
      </x:c>
      <x:c r="O5" s="23" t="str">
        <x:v>Risiko komplain</x:v>
      </x:c>
      <x:c r="P5" s="23" t="str">
        <x:v>Risiko reputasi</x:v>
      </x:c>
      <x:c r="Q5" s="23" t="str">
        <x:v>Kebutuhan ahli</x:v>
      </x:c>
      <x:c r="R5" s="23" t="str">
        <x:v>Kebutuhan lapangan</x:v>
      </x:c>
      <x:c r="S5" s="23" t="str">
        <x:v>Intensitas komunikasi</x:v>
      </x:c>
      <x:c r="T5" s="23" t="str">
        <x:v>Kemudahan SOP</x:v>
      </x:c>
      <x:c r="U5" s="23" t="str">
        <x:v>Kemudahan delegasi</x:v>
      </x:c>
      <x:c r="V5" s="23" t="str">
        <x:v>Potensi automasi</x:v>
      </x:c>
      <x:c r="W5" s="23" t="str">
        <x:v>Potensi mitra</x:v>
      </x:c>
      <x:c r="X5" s="23" t="str">
        <x:v>Potensi repeat</x:v>
      </x:c>
      <x:c r="Y5" s="23" t="str">
        <x:v>Potensi cross-sell</x:v>
      </x:c>
      <x:c r="Z5" s="23" t="str">
        <x:v>Potensi SEO</x:v>
      </x:c>
      <x:c r="AA5" s="23" t="str">
        <x:v>Potensi artikel</x:v>
      </x:c>
      <x:c r="AB5" s="23" t="str">
        <x:v>Potensi YouTube</x:v>
      </x:c>
      <x:c r="AC5" s="23" t="str">
        <x:v>Potensi social</x:v>
      </x:c>
      <x:c r="AD5" s="23" t="str">
        <x:v>Beban maintenance konten</x:v>
      </x:c>
      <x:c r="AE5" s="23" t="str">
        <x:v>Kesesuaian tim kecil</x:v>
      </x:c>
      <x:c r="AF5" s="23" t="str">
        <x:v>Kebutuhan pemilik</x:v>
      </x:c>
      <x:c r="AG5" s="23" t="str">
        <x:v>Kesesuaian positioning</x:v>
      </x:c>
      <x:c r="AH5" s="24" t="str">
        <x:v>Composite 1-5</x:v>
      </x:c>
    </x:row>
    <x:row r="6">
      <x:c r="A6" s="157" t="str">
        <x:v>L01</x:v>
      </x:c>
      <x:c r="B6" s="158" t="str">
        <x:v>Regulatory Readiness &amp; Permit Roadmap</x:v>
      </x:c>
      <x:c r="C6" s="130" t="str">
        <x:v>A</x:v>
      </x:c>
      <x:c r="D6" s="169" t="n">
        <x:v>4</x:v>
      </x:c>
      <x:c r="E6" s="169" t="n">
        <x:v>4</x:v>
      </x:c>
      <x:c r="F6" s="169" t="n">
        <x:v>3</x:v>
      </x:c>
      <x:c r="G6" s="169" t="n">
        <x:v>4</x:v>
      </x:c>
      <x:c r="H6" s="169" t="n">
        <x:v>4</x:v>
      </x:c>
      <x:c r="I6" s="169" t="n">
        <x:v>5</x:v>
      </x:c>
      <x:c r="J6" s="169" t="n">
        <x:v>3</x:v>
      </x:c>
      <x:c r="K6" s="169" t="n">
        <x:v>2</x:v>
      </x:c>
      <x:c r="L6" s="169" t="n">
        <x:v>2</x:v>
      </x:c>
      <x:c r="M6" s="169" t="n">
        <x:v>4</x:v>
      </x:c>
      <x:c r="N6" s="169" t="n">
        <x:v>2</x:v>
      </x:c>
      <x:c r="O6" s="169" t="n">
        <x:v>2</x:v>
      </x:c>
      <x:c r="P6" s="169" t="n">
        <x:v>3</x:v>
      </x:c>
      <x:c r="Q6" s="169" t="n">
        <x:v>4</x:v>
      </x:c>
      <x:c r="R6" s="169" t="n">
        <x:v>1</x:v>
      </x:c>
      <x:c r="S6" s="169" t="n">
        <x:v>3</x:v>
      </x:c>
      <x:c r="T6" s="169" t="n">
        <x:v>5</x:v>
      </x:c>
      <x:c r="U6" s="169" t="n">
        <x:v>4</x:v>
      </x:c>
      <x:c r="V6" s="169" t="n">
        <x:v>4</x:v>
      </x:c>
      <x:c r="W6" s="169" t="n">
        <x:v>3</x:v>
      </x:c>
      <x:c r="X6" s="169" t="n">
        <x:v>4</x:v>
      </x:c>
      <x:c r="Y6" s="169" t="n">
        <x:v>5</x:v>
      </x:c>
      <x:c r="Z6" s="169" t="n">
        <x:v>5</x:v>
      </x:c>
      <x:c r="AA6" s="169" t="n">
        <x:v>5</x:v>
      </x:c>
      <x:c r="AB6" s="169" t="n">
        <x:v>4</x:v>
      </x:c>
      <x:c r="AC6" s="169" t="n">
        <x:v>4</x:v>
      </x:c>
      <x:c r="AD6" s="169" t="n">
        <x:v>3</x:v>
      </x:c>
      <x:c r="AE6" s="169" t="n">
        <x:v>5</x:v>
      </x:c>
      <x:c r="AF6" s="169" t="n">
        <x:v>3</x:v>
      </x:c>
      <x:c r="AG6" s="169" t="n">
        <x:v>5</x:v>
      </x:c>
      <x:c r="AH6" s="175" t="n">
        <x:f>ROUND((D6*'Scoring Guide'!$D$6+E6*'Scoring Guide'!$D$7+F6*'Scoring Guide'!$D$8+G6*'Scoring Guide'!$D$9+H6*'Scoring Guide'!$D$10+I6*'Scoring Guide'!$D$11+(6-J6)*'Scoring Guide'!$D$12+(6-K6)*'Scoring Guide'!$D$13+(6-L6)*'Scoring Guide'!$D$14+(6-M6)*'Scoring Guide'!$D$15+(6-N6)*'Scoring Guide'!$D$16+(6-O6)*'Scoring Guide'!$D$17+(6-P6)*'Scoring Guide'!$D$18+(6-Q6)*'Scoring Guide'!$D$19+(6-R6)*'Scoring Guide'!$D$20+(6-S6)*'Scoring Guide'!$D$21+T6*'Scoring Guide'!$D$22+U6*'Scoring Guide'!$D$23+V6*'Scoring Guide'!$D$24+W6*'Scoring Guide'!$D$25+X6*'Scoring Guide'!$D$26+Y6*'Scoring Guide'!$D$27+Z6*'Scoring Guide'!$D$28+AA6*'Scoring Guide'!$D$29+AB6*'Scoring Guide'!$D$30+AC6*'Scoring Guide'!$D$31+(6-AD6)*'Scoring Guide'!$D$32+AE6*'Scoring Guide'!$D$33+(6-AF6)*'Scoring Guide'!$D$34+AG6*'Scoring Guide'!$D$35)/SUM('Scoring Guide'!$D$6:$D$35),2)</x:f>
        <x:v>3.99</x:v>
      </x:c>
    </x:row>
    <x:row r="7">
      <x:c r="A7" s="160" t="str">
        <x:v>L02</x:v>
      </x:c>
      <x:c r="B7" s="161" t="str">
        <x:v>Pendirian PT/CV + dokumen dasar + NIB sebagai paket</x:v>
      </x:c>
      <x:c r="C7" s="132" t="str">
        <x:v>B</x:v>
      </x:c>
      <x:c r="D7" s="170" t="n">
        <x:v>2</x:v>
      </x:c>
      <x:c r="E7" s="170" t="n">
        <x:v>2</x:v>
      </x:c>
      <x:c r="F7" s="170" t="n">
        <x:v>5</x:v>
      </x:c>
      <x:c r="G7" s="170" t="n">
        <x:v>3</x:v>
      </x:c>
      <x:c r="H7" s="170" t="n">
        <x:v>1</x:v>
      </x:c>
      <x:c r="I7" s="170" t="n">
        <x:v>3</x:v>
      </x:c>
      <x:c r="J7" s="170" t="n">
        <x:v>2</x:v>
      </x:c>
      <x:c r="K7" s="170" t="n">
        <x:v>2</x:v>
      </x:c>
      <x:c r="L7" s="170" t="n">
        <x:v>3</x:v>
      </x:c>
      <x:c r="M7" s="170" t="n">
        <x:v>4</x:v>
      </x:c>
      <x:c r="N7" s="170" t="n">
        <x:v>3</x:v>
      </x:c>
      <x:c r="O7" s="170" t="n">
        <x:v>3</x:v>
      </x:c>
      <x:c r="P7" s="170" t="n">
        <x:v>2</x:v>
      </x:c>
      <x:c r="Q7" s="170" t="n">
        <x:v>2</x:v>
      </x:c>
      <x:c r="R7" s="170" t="n">
        <x:v>1</x:v>
      </x:c>
      <x:c r="S7" s="170" t="n">
        <x:v>4</x:v>
      </x:c>
      <x:c r="T7" s="170" t="n">
        <x:v>5</x:v>
      </x:c>
      <x:c r="U7" s="170" t="n">
        <x:v>5</x:v>
      </x:c>
      <x:c r="V7" s="170" t="n">
        <x:v>4</x:v>
      </x:c>
      <x:c r="W7" s="170" t="n">
        <x:v>4</x:v>
      </x:c>
      <x:c r="X7" s="170" t="n">
        <x:v>2</x:v>
      </x:c>
      <x:c r="Y7" s="170" t="n">
        <x:v>4</x:v>
      </x:c>
      <x:c r="Z7" s="170" t="n">
        <x:v>5</x:v>
      </x:c>
      <x:c r="AA7" s="170" t="n">
        <x:v>4</x:v>
      </x:c>
      <x:c r="AB7" s="170" t="n">
        <x:v>3</x:v>
      </x:c>
      <x:c r="AC7" s="170" t="n">
        <x:v>4</x:v>
      </x:c>
      <x:c r="AD7" s="170" t="n">
        <x:v>5</x:v>
      </x:c>
      <x:c r="AE7" s="170" t="n">
        <x:v>5</x:v>
      </x:c>
      <x:c r="AF7" s="170" t="n">
        <x:v>1</x:v>
      </x:c>
      <x:c r="AG7" s="170" t="n">
        <x:v>3</x:v>
      </x:c>
      <x:c r="AH7" s="176" t="n">
        <x:f>ROUND((D7*'Scoring Guide'!$D$6+E7*'Scoring Guide'!$D$7+F7*'Scoring Guide'!$D$8+G7*'Scoring Guide'!$D$9+H7*'Scoring Guide'!$D$10+I7*'Scoring Guide'!$D$11+(6-J7)*'Scoring Guide'!$D$12+(6-K7)*'Scoring Guide'!$D$13+(6-L7)*'Scoring Guide'!$D$14+(6-M7)*'Scoring Guide'!$D$15+(6-N7)*'Scoring Guide'!$D$16+(6-O7)*'Scoring Guide'!$D$17+(6-P7)*'Scoring Guide'!$D$18+(6-Q7)*'Scoring Guide'!$D$19+(6-R7)*'Scoring Guide'!$D$20+(6-S7)*'Scoring Guide'!$D$21+T7*'Scoring Guide'!$D$22+U7*'Scoring Guide'!$D$23+V7*'Scoring Guide'!$D$24+W7*'Scoring Guide'!$D$25+X7*'Scoring Guide'!$D$26+Y7*'Scoring Guide'!$D$27+Z7*'Scoring Guide'!$D$28+AA7*'Scoring Guide'!$D$29+AB7*'Scoring Guide'!$D$30+AC7*'Scoring Guide'!$D$31+(6-AD7)*'Scoring Guide'!$D$32+AE7*'Scoring Guide'!$D$33+(6-AF7)*'Scoring Guide'!$D$34+AG7*'Scoring Guide'!$D$35)/SUM('Scoring Guide'!$D$6:$D$35),2)</x:f>
        <x:v>3.44</x:v>
      </x:c>
    </x:row>
    <x:row r="8">
      <x:c r="A8" s="160" t="str">
        <x:v>L03</x:v>
      </x:c>
      <x:c r="B8" s="161" t="str">
        <x:v>Pendirian PT PMA</x:v>
      </x:c>
      <x:c r="C8" s="132" t="str">
        <x:v>B</x:v>
      </x:c>
      <x:c r="D8" s="170" t="n">
        <x:v>4</x:v>
      </x:c>
      <x:c r="E8" s="170" t="n">
        <x:v>3</x:v>
      </x:c>
      <x:c r="F8" s="170" t="n">
        <x:v>4</x:v>
      </x:c>
      <x:c r="G8" s="170" t="n">
        <x:v>4</x:v>
      </x:c>
      <x:c r="H8" s="170" t="n">
        <x:v>3</x:v>
      </x:c>
      <x:c r="I8" s="170" t="n">
        <x:v>4</x:v>
      </x:c>
      <x:c r="J8" s="170" t="n">
        <x:v>3</x:v>
      </x:c>
      <x:c r="K8" s="170" t="n">
        <x:v>3</x:v>
      </x:c>
      <x:c r="L8" s="170" t="n">
        <x:v>4</x:v>
      </x:c>
      <x:c r="M8" s="170" t="n">
        <x:v>4</x:v>
      </x:c>
      <x:c r="N8" s="170" t="n">
        <x:v>4</x:v>
      </x:c>
      <x:c r="O8" s="170" t="n">
        <x:v>3</x:v>
      </x:c>
      <x:c r="P8" s="170" t="n">
        <x:v>3</x:v>
      </x:c>
      <x:c r="Q8" s="170" t="n">
        <x:v>3</x:v>
      </x:c>
      <x:c r="R8" s="170" t="n">
        <x:v>2</x:v>
      </x:c>
      <x:c r="S8" s="170" t="n">
        <x:v>4</x:v>
      </x:c>
      <x:c r="T8" s="170" t="n">
        <x:v>4</x:v>
      </x:c>
      <x:c r="U8" s="170" t="n">
        <x:v>4</x:v>
      </x:c>
      <x:c r="V8" s="170" t="n">
        <x:v>3</x:v>
      </x:c>
      <x:c r="W8" s="170" t="n">
        <x:v>4</x:v>
      </x:c>
      <x:c r="X8" s="170" t="n">
        <x:v>3</x:v>
      </x:c>
      <x:c r="Y8" s="170" t="n">
        <x:v>4</x:v>
      </x:c>
      <x:c r="Z8" s="170" t="n">
        <x:v>4</x:v>
      </x:c>
      <x:c r="AA8" s="170" t="n">
        <x:v>4</x:v>
      </x:c>
      <x:c r="AB8" s="170" t="n">
        <x:v>3</x:v>
      </x:c>
      <x:c r="AC8" s="170" t="n">
        <x:v>3</x:v>
      </x:c>
      <x:c r="AD8" s="170" t="n">
        <x:v>4</x:v>
      </x:c>
      <x:c r="AE8" s="170" t="n">
        <x:v>4</x:v>
      </x:c>
      <x:c r="AF8" s="170" t="n">
        <x:v>3</x:v>
      </x:c>
      <x:c r="AG8" s="170" t="n">
        <x:v>4</x:v>
      </x:c>
      <x:c r="AH8" s="176" t="n">
        <x:f>ROUND((D8*'Scoring Guide'!$D$6+E8*'Scoring Guide'!$D$7+F8*'Scoring Guide'!$D$8+G8*'Scoring Guide'!$D$9+H8*'Scoring Guide'!$D$10+I8*'Scoring Guide'!$D$11+(6-J8)*'Scoring Guide'!$D$12+(6-K8)*'Scoring Guide'!$D$13+(6-L8)*'Scoring Guide'!$D$14+(6-M8)*'Scoring Guide'!$D$15+(6-N8)*'Scoring Guide'!$D$16+(6-O8)*'Scoring Guide'!$D$17+(6-P8)*'Scoring Guide'!$D$18+(6-Q8)*'Scoring Guide'!$D$19+(6-R8)*'Scoring Guide'!$D$20+(6-S8)*'Scoring Guide'!$D$21+T8*'Scoring Guide'!$D$22+U8*'Scoring Guide'!$D$23+V8*'Scoring Guide'!$D$24+W8*'Scoring Guide'!$D$25+X8*'Scoring Guide'!$D$26+Y8*'Scoring Guide'!$D$27+Z8*'Scoring Guide'!$D$28+AA8*'Scoring Guide'!$D$29+AB8*'Scoring Guide'!$D$30+AC8*'Scoring Guide'!$D$31+(6-AD8)*'Scoring Guide'!$D$32+AE8*'Scoring Guide'!$D$33+(6-AF8)*'Scoring Guide'!$D$34+AG8*'Scoring Guide'!$D$35)/SUM('Scoring Guide'!$D$6:$D$35),2)</x:f>
        <x:v>3.4</x:v>
      </x:c>
    </x:row>
    <x:row r="9">
      <x:c r="A9" s="160" t="str">
        <x:v>L04</x:v>
      </x:c>
      <x:c r="B9" s="161" t="str">
        <x:v>Bentuk badan lain</x:v>
      </x:c>
      <x:c r="C9" s="134" t="str">
        <x:v>C</x:v>
      </x:c>
      <x:c r="D9" s="170" t="n">
        <x:v>2</x:v>
      </x:c>
      <x:c r="E9" s="170" t="n">
        <x:v>2</x:v>
      </x:c>
      <x:c r="F9" s="170" t="n">
        <x:v>5</x:v>
      </x:c>
      <x:c r="G9" s="170" t="n">
        <x:v>3</x:v>
      </x:c>
      <x:c r="H9" s="170" t="n">
        <x:v>1</x:v>
      </x:c>
      <x:c r="I9" s="170" t="n">
        <x:v>3</x:v>
      </x:c>
      <x:c r="J9" s="170" t="n">
        <x:v>2</x:v>
      </x:c>
      <x:c r="K9" s="170" t="n">
        <x:v>2</x:v>
      </x:c>
      <x:c r="L9" s="170" t="n">
        <x:v>3</x:v>
      </x:c>
      <x:c r="M9" s="170" t="n">
        <x:v>4</x:v>
      </x:c>
      <x:c r="N9" s="170" t="n">
        <x:v>3</x:v>
      </x:c>
      <x:c r="O9" s="170" t="n">
        <x:v>3</x:v>
      </x:c>
      <x:c r="P9" s="170" t="n">
        <x:v>2</x:v>
      </x:c>
      <x:c r="Q9" s="170" t="n">
        <x:v>2</x:v>
      </x:c>
      <x:c r="R9" s="170" t="n">
        <x:v>1</x:v>
      </x:c>
      <x:c r="S9" s="170" t="n">
        <x:v>4</x:v>
      </x:c>
      <x:c r="T9" s="170" t="n">
        <x:v>5</x:v>
      </x:c>
      <x:c r="U9" s="170" t="n">
        <x:v>5</x:v>
      </x:c>
      <x:c r="V9" s="170" t="n">
        <x:v>4</x:v>
      </x:c>
      <x:c r="W9" s="170" t="n">
        <x:v>4</x:v>
      </x:c>
      <x:c r="X9" s="170" t="n">
        <x:v>2</x:v>
      </x:c>
      <x:c r="Y9" s="170" t="n">
        <x:v>4</x:v>
      </x:c>
      <x:c r="Z9" s="170" t="n">
        <x:v>5</x:v>
      </x:c>
      <x:c r="AA9" s="170" t="n">
        <x:v>4</x:v>
      </x:c>
      <x:c r="AB9" s="170" t="n">
        <x:v>3</x:v>
      </x:c>
      <x:c r="AC9" s="170" t="n">
        <x:v>4</x:v>
      </x:c>
      <x:c r="AD9" s="170" t="n">
        <x:v>5</x:v>
      </x:c>
      <x:c r="AE9" s="170" t="n">
        <x:v>5</x:v>
      </x:c>
      <x:c r="AF9" s="170" t="n">
        <x:v>1</x:v>
      </x:c>
      <x:c r="AG9" s="170" t="n">
        <x:v>3</x:v>
      </x:c>
      <x:c r="AH9" s="176" t="n">
        <x:f>ROUND((D9*'Scoring Guide'!$D$6+E9*'Scoring Guide'!$D$7+F9*'Scoring Guide'!$D$8+G9*'Scoring Guide'!$D$9+H9*'Scoring Guide'!$D$10+I9*'Scoring Guide'!$D$11+(6-J9)*'Scoring Guide'!$D$12+(6-K9)*'Scoring Guide'!$D$13+(6-L9)*'Scoring Guide'!$D$14+(6-M9)*'Scoring Guide'!$D$15+(6-N9)*'Scoring Guide'!$D$16+(6-O9)*'Scoring Guide'!$D$17+(6-P9)*'Scoring Guide'!$D$18+(6-Q9)*'Scoring Guide'!$D$19+(6-R9)*'Scoring Guide'!$D$20+(6-S9)*'Scoring Guide'!$D$21+T9*'Scoring Guide'!$D$22+U9*'Scoring Guide'!$D$23+V9*'Scoring Guide'!$D$24+W9*'Scoring Guide'!$D$25+X9*'Scoring Guide'!$D$26+Y9*'Scoring Guide'!$D$27+Z9*'Scoring Guide'!$D$28+AA9*'Scoring Guide'!$D$29+AB9*'Scoring Guide'!$D$30+AC9*'Scoring Guide'!$D$31+(6-AD9)*'Scoring Guide'!$D$32+AE9*'Scoring Guide'!$D$33+(6-AF9)*'Scoring Guide'!$D$34+AG9*'Scoring Guide'!$D$35)/SUM('Scoring Guide'!$D$6:$D$35),2)</x:f>
        <x:v>3.44</x:v>
      </x:c>
    </x:row>
    <x:row r="10">
      <x:c r="A10" s="160" t="str">
        <x:v>L05</x:v>
      </x:c>
      <x:c r="B10" s="161" t="str">
        <x:v>Perubahan data korporasi</x:v>
      </x:c>
      <x:c r="C10" s="132" t="str">
        <x:v>B</x:v>
      </x:c>
      <x:c r="D10" s="170" t="n">
        <x:v>3</x:v>
      </x:c>
      <x:c r="E10" s="170" t="n">
        <x:v>3</x:v>
      </x:c>
      <x:c r="F10" s="170" t="n">
        <x:v>3</x:v>
      </x:c>
      <x:c r="G10" s="170" t="n">
        <x:v>4</x:v>
      </x:c>
      <x:c r="H10" s="170" t="n">
        <x:v>2</x:v>
      </x:c>
      <x:c r="I10" s="170" t="n">
        <x:v>3</x:v>
      </x:c>
      <x:c r="J10" s="170" t="n">
        <x:v>3</x:v>
      </x:c>
      <x:c r="K10" s="170" t="n">
        <x:v>3</x:v>
      </x:c>
      <x:c r="L10" s="170" t="n">
        <x:v>3</x:v>
      </x:c>
      <x:c r="M10" s="170" t="n">
        <x:v>4</x:v>
      </x:c>
      <x:c r="N10" s="170" t="n">
        <x:v>3</x:v>
      </x:c>
      <x:c r="O10" s="170" t="n">
        <x:v>3</x:v>
      </x:c>
      <x:c r="P10" s="170" t="n">
        <x:v>3</x:v>
      </x:c>
      <x:c r="Q10" s="170" t="n">
        <x:v>3</x:v>
      </x:c>
      <x:c r="R10" s="170" t="n">
        <x:v>1</x:v>
      </x:c>
      <x:c r="S10" s="170" t="n">
        <x:v>3</x:v>
      </x:c>
      <x:c r="T10" s="170" t="n">
        <x:v>4</x:v>
      </x:c>
      <x:c r="U10" s="170" t="n">
        <x:v>4</x:v>
      </x:c>
      <x:c r="V10" s="170" t="n">
        <x:v>3</x:v>
      </x:c>
      <x:c r="W10" s="170" t="n">
        <x:v>4</x:v>
      </x:c>
      <x:c r="X10" s="170" t="n">
        <x:v>3</x:v>
      </x:c>
      <x:c r="Y10" s="170" t="n">
        <x:v>5</x:v>
      </x:c>
      <x:c r="Z10" s="170" t="n">
        <x:v>3</x:v>
      </x:c>
      <x:c r="AA10" s="170" t="n">
        <x:v>3</x:v>
      </x:c>
      <x:c r="AB10" s="170" t="n">
        <x:v>2</x:v>
      </x:c>
      <x:c r="AC10" s="170" t="n">
        <x:v>3</x:v>
      </x:c>
      <x:c r="AD10" s="170" t="n">
        <x:v>3</x:v>
      </x:c>
      <x:c r="AE10" s="170" t="n">
        <x:v>4</x:v>
      </x:c>
      <x:c r="AF10" s="170" t="n">
        <x:v>2</x:v>
      </x:c>
      <x:c r="AG10" s="170" t="n">
        <x:v>3</x:v>
      </x:c>
      <x:c r="AH10" s="176" t="n">
        <x:f>ROUND((D10*'Scoring Guide'!$D$6+E10*'Scoring Guide'!$D$7+F10*'Scoring Guide'!$D$8+G10*'Scoring Guide'!$D$9+H10*'Scoring Guide'!$D$10+I10*'Scoring Guide'!$D$11+(6-J10)*'Scoring Guide'!$D$12+(6-K10)*'Scoring Guide'!$D$13+(6-L10)*'Scoring Guide'!$D$14+(6-M10)*'Scoring Guide'!$D$15+(6-N10)*'Scoring Guide'!$D$16+(6-O10)*'Scoring Guide'!$D$17+(6-P10)*'Scoring Guide'!$D$18+(6-Q10)*'Scoring Guide'!$D$19+(6-R10)*'Scoring Guide'!$D$20+(6-S10)*'Scoring Guide'!$D$21+T10*'Scoring Guide'!$D$22+U10*'Scoring Guide'!$D$23+V10*'Scoring Guide'!$D$24+W10*'Scoring Guide'!$D$25+X10*'Scoring Guide'!$D$26+Y10*'Scoring Guide'!$D$27+Z10*'Scoring Guide'!$D$28+AA10*'Scoring Guide'!$D$29+AB10*'Scoring Guide'!$D$30+AC10*'Scoring Guide'!$D$31+(6-AD10)*'Scoring Guide'!$D$32+AE10*'Scoring Guide'!$D$33+(6-AF10)*'Scoring Guide'!$D$34+AG10*'Scoring Guide'!$D$35)/SUM('Scoring Guide'!$D$6:$D$35),2)</x:f>
        <x:v>3.27</x:v>
      </x:c>
    </x:row>
    <x:row r="11">
      <x:c r="A11" s="160" t="str">
        <x:v>L06</x:v>
      </x:c>
      <x:c r="B11" s="161" t="str">
        <x:v>KBLI, NIB, dan OSS-RBA mapping</x:v>
      </x:c>
      <x:c r="C11" s="136" t="str">
        <x:v>A</x:v>
      </x:c>
      <x:c r="D11" s="170" t="n">
        <x:v>4</x:v>
      </x:c>
      <x:c r="E11" s="170" t="n">
        <x:v>4</x:v>
      </x:c>
      <x:c r="F11" s="170" t="n">
        <x:v>3</x:v>
      </x:c>
      <x:c r="G11" s="170" t="n">
        <x:v>4</x:v>
      </x:c>
      <x:c r="H11" s="170" t="n">
        <x:v>4</x:v>
      </x:c>
      <x:c r="I11" s="170" t="n">
        <x:v>5</x:v>
      </x:c>
      <x:c r="J11" s="170" t="n">
        <x:v>3</x:v>
      </x:c>
      <x:c r="K11" s="170" t="n">
        <x:v>2</x:v>
      </x:c>
      <x:c r="L11" s="170" t="n">
        <x:v>2</x:v>
      </x:c>
      <x:c r="M11" s="170" t="n">
        <x:v>4</x:v>
      </x:c>
      <x:c r="N11" s="170" t="n">
        <x:v>2</x:v>
      </x:c>
      <x:c r="O11" s="170" t="n">
        <x:v>2</x:v>
      </x:c>
      <x:c r="P11" s="170" t="n">
        <x:v>3</x:v>
      </x:c>
      <x:c r="Q11" s="170" t="n">
        <x:v>4</x:v>
      </x:c>
      <x:c r="R11" s="170" t="n">
        <x:v>1</x:v>
      </x:c>
      <x:c r="S11" s="170" t="n">
        <x:v>3</x:v>
      </x:c>
      <x:c r="T11" s="170" t="n">
        <x:v>5</x:v>
      </x:c>
      <x:c r="U11" s="170" t="n">
        <x:v>4</x:v>
      </x:c>
      <x:c r="V11" s="170" t="n">
        <x:v>4</x:v>
      </x:c>
      <x:c r="W11" s="170" t="n">
        <x:v>3</x:v>
      </x:c>
      <x:c r="X11" s="170" t="n">
        <x:v>4</x:v>
      </x:c>
      <x:c r="Y11" s="170" t="n">
        <x:v>5</x:v>
      </x:c>
      <x:c r="Z11" s="170" t="n">
        <x:v>5</x:v>
      </x:c>
      <x:c r="AA11" s="170" t="n">
        <x:v>5</x:v>
      </x:c>
      <x:c r="AB11" s="170" t="n">
        <x:v>4</x:v>
      </x:c>
      <x:c r="AC11" s="170" t="n">
        <x:v>4</x:v>
      </x:c>
      <x:c r="AD11" s="170" t="n">
        <x:v>3</x:v>
      </x:c>
      <x:c r="AE11" s="170" t="n">
        <x:v>5</x:v>
      </x:c>
      <x:c r="AF11" s="170" t="n">
        <x:v>3</x:v>
      </x:c>
      <x:c r="AG11" s="170" t="n">
        <x:v>5</x:v>
      </x:c>
      <x:c r="AH11" s="176" t="n">
        <x:f>ROUND((D11*'Scoring Guide'!$D$6+E11*'Scoring Guide'!$D$7+F11*'Scoring Guide'!$D$8+G11*'Scoring Guide'!$D$9+H11*'Scoring Guide'!$D$10+I11*'Scoring Guide'!$D$11+(6-J11)*'Scoring Guide'!$D$12+(6-K11)*'Scoring Guide'!$D$13+(6-L11)*'Scoring Guide'!$D$14+(6-M11)*'Scoring Guide'!$D$15+(6-N11)*'Scoring Guide'!$D$16+(6-O11)*'Scoring Guide'!$D$17+(6-P11)*'Scoring Guide'!$D$18+(6-Q11)*'Scoring Guide'!$D$19+(6-R11)*'Scoring Guide'!$D$20+(6-S11)*'Scoring Guide'!$D$21+T11*'Scoring Guide'!$D$22+U11*'Scoring Guide'!$D$23+V11*'Scoring Guide'!$D$24+W11*'Scoring Guide'!$D$25+X11*'Scoring Guide'!$D$26+Y11*'Scoring Guide'!$D$27+Z11*'Scoring Guide'!$D$28+AA11*'Scoring Guide'!$D$29+AB11*'Scoring Guide'!$D$30+AC11*'Scoring Guide'!$D$31+(6-AD11)*'Scoring Guide'!$D$32+AE11*'Scoring Guide'!$D$33+(6-AF11)*'Scoring Guide'!$D$34+AG11*'Scoring Guide'!$D$35)/SUM('Scoring Guide'!$D$6:$D$35),2)</x:f>
        <x:v>3.99</x:v>
      </x:c>
    </x:row>
    <x:row r="12">
      <x:c r="A12" s="160" t="str">
        <x:v>L07</x:v>
      </x:c>
      <x:c r="B12" s="161" t="str">
        <x:v>NIB/OSS standalone</x:v>
      </x:c>
      <x:c r="C12" s="134" t="str">
        <x:v>C</x:v>
      </x:c>
      <x:c r="D12" s="170" t="n">
        <x:v>2</x:v>
      </x:c>
      <x:c r="E12" s="170" t="n">
        <x:v>2</x:v>
      </x:c>
      <x:c r="F12" s="170" t="n">
        <x:v>5</x:v>
      </x:c>
      <x:c r="G12" s="170" t="n">
        <x:v>3</x:v>
      </x:c>
      <x:c r="H12" s="170" t="n">
        <x:v>1</x:v>
      </x:c>
      <x:c r="I12" s="170" t="n">
        <x:v>3</x:v>
      </x:c>
      <x:c r="J12" s="170" t="n">
        <x:v>2</x:v>
      </x:c>
      <x:c r="K12" s="170" t="n">
        <x:v>2</x:v>
      </x:c>
      <x:c r="L12" s="170" t="n">
        <x:v>3</x:v>
      </x:c>
      <x:c r="M12" s="170" t="n">
        <x:v>4</x:v>
      </x:c>
      <x:c r="N12" s="170" t="n">
        <x:v>3</x:v>
      </x:c>
      <x:c r="O12" s="170" t="n">
        <x:v>3</x:v>
      </x:c>
      <x:c r="P12" s="170" t="n">
        <x:v>2</x:v>
      </x:c>
      <x:c r="Q12" s="170" t="n">
        <x:v>2</x:v>
      </x:c>
      <x:c r="R12" s="170" t="n">
        <x:v>1</x:v>
      </x:c>
      <x:c r="S12" s="170" t="n">
        <x:v>4</x:v>
      </x:c>
      <x:c r="T12" s="170" t="n">
        <x:v>5</x:v>
      </x:c>
      <x:c r="U12" s="170" t="n">
        <x:v>5</x:v>
      </x:c>
      <x:c r="V12" s="170" t="n">
        <x:v>4</x:v>
      </x:c>
      <x:c r="W12" s="170" t="n">
        <x:v>4</x:v>
      </x:c>
      <x:c r="X12" s="170" t="n">
        <x:v>2</x:v>
      </x:c>
      <x:c r="Y12" s="170" t="n">
        <x:v>4</x:v>
      </x:c>
      <x:c r="Z12" s="170" t="n">
        <x:v>5</x:v>
      </x:c>
      <x:c r="AA12" s="170" t="n">
        <x:v>4</x:v>
      </x:c>
      <x:c r="AB12" s="170" t="n">
        <x:v>3</x:v>
      </x:c>
      <x:c r="AC12" s="170" t="n">
        <x:v>4</x:v>
      </x:c>
      <x:c r="AD12" s="170" t="n">
        <x:v>5</x:v>
      </x:c>
      <x:c r="AE12" s="170" t="n">
        <x:v>5</x:v>
      </x:c>
      <x:c r="AF12" s="170" t="n">
        <x:v>1</x:v>
      </x:c>
      <x:c r="AG12" s="170" t="n">
        <x:v>3</x:v>
      </x:c>
      <x:c r="AH12" s="176" t="n">
        <x:f>ROUND((D12*'Scoring Guide'!$D$6+E12*'Scoring Guide'!$D$7+F12*'Scoring Guide'!$D$8+G12*'Scoring Guide'!$D$9+H12*'Scoring Guide'!$D$10+I12*'Scoring Guide'!$D$11+(6-J12)*'Scoring Guide'!$D$12+(6-K12)*'Scoring Guide'!$D$13+(6-L12)*'Scoring Guide'!$D$14+(6-M12)*'Scoring Guide'!$D$15+(6-N12)*'Scoring Guide'!$D$16+(6-O12)*'Scoring Guide'!$D$17+(6-P12)*'Scoring Guide'!$D$18+(6-Q12)*'Scoring Guide'!$D$19+(6-R12)*'Scoring Guide'!$D$20+(6-S12)*'Scoring Guide'!$D$21+T12*'Scoring Guide'!$D$22+U12*'Scoring Guide'!$D$23+V12*'Scoring Guide'!$D$24+W12*'Scoring Guide'!$D$25+X12*'Scoring Guide'!$D$26+Y12*'Scoring Guide'!$D$27+Z12*'Scoring Guide'!$D$28+AA12*'Scoring Guide'!$D$29+AB12*'Scoring Guide'!$D$30+AC12*'Scoring Guide'!$D$31+(6-AD12)*'Scoring Guide'!$D$32+AE12*'Scoring Guide'!$D$33+(6-AF12)*'Scoring Guide'!$D$34+AG12*'Scoring Guide'!$D$35)/SUM('Scoring Guide'!$D$6:$D$35),2)</x:f>
        <x:v>3.44</x:v>
      </x:c>
    </x:row>
    <x:row r="13">
      <x:c r="A13" s="160" t="str">
        <x:v>L08</x:v>
      </x:c>
      <x:c r="B13" s="161" t="str">
        <x:v>Sertifikat Standar, Izin, dan PB UMKU terpilih</x:v>
      </x:c>
      <x:c r="C13" s="132" t="str">
        <x:v>B</x:v>
      </x:c>
      <x:c r="D13" s="170" t="n">
        <x:v>4</x:v>
      </x:c>
      <x:c r="E13" s="170" t="n">
        <x:v>3</x:v>
      </x:c>
      <x:c r="F13" s="170" t="n">
        <x:v>4</x:v>
      </x:c>
      <x:c r="G13" s="170" t="n">
        <x:v>4</x:v>
      </x:c>
      <x:c r="H13" s="170" t="n">
        <x:v>3</x:v>
      </x:c>
      <x:c r="I13" s="170" t="n">
        <x:v>4</x:v>
      </x:c>
      <x:c r="J13" s="170" t="n">
        <x:v>3</x:v>
      </x:c>
      <x:c r="K13" s="170" t="n">
        <x:v>3</x:v>
      </x:c>
      <x:c r="L13" s="170" t="n">
        <x:v>4</x:v>
      </x:c>
      <x:c r="M13" s="170" t="n">
        <x:v>4</x:v>
      </x:c>
      <x:c r="N13" s="170" t="n">
        <x:v>4</x:v>
      </x:c>
      <x:c r="O13" s="170" t="n">
        <x:v>3</x:v>
      </x:c>
      <x:c r="P13" s="170" t="n">
        <x:v>3</x:v>
      </x:c>
      <x:c r="Q13" s="170" t="n">
        <x:v>3</x:v>
      </x:c>
      <x:c r="R13" s="170" t="n">
        <x:v>2</x:v>
      </x:c>
      <x:c r="S13" s="170" t="n">
        <x:v>4</x:v>
      </x:c>
      <x:c r="T13" s="170" t="n">
        <x:v>4</x:v>
      </x:c>
      <x:c r="U13" s="170" t="n">
        <x:v>4</x:v>
      </x:c>
      <x:c r="V13" s="170" t="n">
        <x:v>3</x:v>
      </x:c>
      <x:c r="W13" s="170" t="n">
        <x:v>4</x:v>
      </x:c>
      <x:c r="X13" s="170" t="n">
        <x:v>3</x:v>
      </x:c>
      <x:c r="Y13" s="170" t="n">
        <x:v>4</x:v>
      </x:c>
      <x:c r="Z13" s="170" t="n">
        <x:v>4</x:v>
      </x:c>
      <x:c r="AA13" s="170" t="n">
        <x:v>4</x:v>
      </x:c>
      <x:c r="AB13" s="170" t="n">
        <x:v>3</x:v>
      </x:c>
      <x:c r="AC13" s="170" t="n">
        <x:v>3</x:v>
      </x:c>
      <x:c r="AD13" s="170" t="n">
        <x:v>4</x:v>
      </x:c>
      <x:c r="AE13" s="170" t="n">
        <x:v>4</x:v>
      </x:c>
      <x:c r="AF13" s="170" t="n">
        <x:v>3</x:v>
      </x:c>
      <x:c r="AG13" s="170" t="n">
        <x:v>4</x:v>
      </x:c>
      <x:c r="AH13" s="176" t="n">
        <x:f>ROUND((D13*'Scoring Guide'!$D$6+E13*'Scoring Guide'!$D$7+F13*'Scoring Guide'!$D$8+G13*'Scoring Guide'!$D$9+H13*'Scoring Guide'!$D$10+I13*'Scoring Guide'!$D$11+(6-J13)*'Scoring Guide'!$D$12+(6-K13)*'Scoring Guide'!$D$13+(6-L13)*'Scoring Guide'!$D$14+(6-M13)*'Scoring Guide'!$D$15+(6-N13)*'Scoring Guide'!$D$16+(6-O13)*'Scoring Guide'!$D$17+(6-P13)*'Scoring Guide'!$D$18+(6-Q13)*'Scoring Guide'!$D$19+(6-R13)*'Scoring Guide'!$D$20+(6-S13)*'Scoring Guide'!$D$21+T13*'Scoring Guide'!$D$22+U13*'Scoring Guide'!$D$23+V13*'Scoring Guide'!$D$24+W13*'Scoring Guide'!$D$25+X13*'Scoring Guide'!$D$26+Y13*'Scoring Guide'!$D$27+Z13*'Scoring Guide'!$D$28+AA13*'Scoring Guide'!$D$29+AB13*'Scoring Guide'!$D$30+AC13*'Scoring Guide'!$D$31+(6-AD13)*'Scoring Guide'!$D$32+AE13*'Scoring Guide'!$D$33+(6-AF13)*'Scoring Guide'!$D$34+AG13*'Scoring Guide'!$D$35)/SUM('Scoring Guide'!$D$6:$D$35),2)</x:f>
        <x:v>3.4</x:v>
      </x:c>
    </x:row>
    <x:row r="14">
      <x:c r="A14" s="160" t="str">
        <x:v>L09</x:v>
      </x:c>
      <x:c r="B14" s="161" t="str">
        <x:v>Perizinan sektoral umum</x:v>
      </x:c>
      <x:c r="C14" s="132" t="str">
        <x:v>B</x:v>
      </x:c>
      <x:c r="D14" s="170" t="n">
        <x:v>4</x:v>
      </x:c>
      <x:c r="E14" s="170" t="n">
        <x:v>3</x:v>
      </x:c>
      <x:c r="F14" s="170" t="n">
        <x:v>4</x:v>
      </x:c>
      <x:c r="G14" s="170" t="n">
        <x:v>4</x:v>
      </x:c>
      <x:c r="H14" s="170" t="n">
        <x:v>3</x:v>
      </x:c>
      <x:c r="I14" s="170" t="n">
        <x:v>4</x:v>
      </x:c>
      <x:c r="J14" s="170" t="n">
        <x:v>3</x:v>
      </x:c>
      <x:c r="K14" s="170" t="n">
        <x:v>3</x:v>
      </x:c>
      <x:c r="L14" s="170" t="n">
        <x:v>4</x:v>
      </x:c>
      <x:c r="M14" s="170" t="n">
        <x:v>4</x:v>
      </x:c>
      <x:c r="N14" s="170" t="n">
        <x:v>4</x:v>
      </x:c>
      <x:c r="O14" s="170" t="n">
        <x:v>3</x:v>
      </x:c>
      <x:c r="P14" s="170" t="n">
        <x:v>3</x:v>
      </x:c>
      <x:c r="Q14" s="170" t="n">
        <x:v>3</x:v>
      </x:c>
      <x:c r="R14" s="170" t="n">
        <x:v>2</x:v>
      </x:c>
      <x:c r="S14" s="170" t="n">
        <x:v>4</x:v>
      </x:c>
      <x:c r="T14" s="170" t="n">
        <x:v>4</x:v>
      </x:c>
      <x:c r="U14" s="170" t="n">
        <x:v>4</x:v>
      </x:c>
      <x:c r="V14" s="170" t="n">
        <x:v>3</x:v>
      </x:c>
      <x:c r="W14" s="170" t="n">
        <x:v>4</x:v>
      </x:c>
      <x:c r="X14" s="170" t="n">
        <x:v>3</x:v>
      </x:c>
      <x:c r="Y14" s="170" t="n">
        <x:v>4</x:v>
      </x:c>
      <x:c r="Z14" s="170" t="n">
        <x:v>4</x:v>
      </x:c>
      <x:c r="AA14" s="170" t="n">
        <x:v>4</x:v>
      </x:c>
      <x:c r="AB14" s="170" t="n">
        <x:v>3</x:v>
      </x:c>
      <x:c r="AC14" s="170" t="n">
        <x:v>3</x:v>
      </x:c>
      <x:c r="AD14" s="170" t="n">
        <x:v>4</x:v>
      </x:c>
      <x:c r="AE14" s="170" t="n">
        <x:v>4</x:v>
      </x:c>
      <x:c r="AF14" s="170" t="n">
        <x:v>3</x:v>
      </x:c>
      <x:c r="AG14" s="170" t="n">
        <x:v>4</x:v>
      </x:c>
      <x:c r="AH14" s="176" t="n">
        <x:f>ROUND((D14*'Scoring Guide'!$D$6+E14*'Scoring Guide'!$D$7+F14*'Scoring Guide'!$D$8+G14*'Scoring Guide'!$D$9+H14*'Scoring Guide'!$D$10+I14*'Scoring Guide'!$D$11+(6-J14)*'Scoring Guide'!$D$12+(6-K14)*'Scoring Guide'!$D$13+(6-L14)*'Scoring Guide'!$D$14+(6-M14)*'Scoring Guide'!$D$15+(6-N14)*'Scoring Guide'!$D$16+(6-O14)*'Scoring Guide'!$D$17+(6-P14)*'Scoring Guide'!$D$18+(6-Q14)*'Scoring Guide'!$D$19+(6-R14)*'Scoring Guide'!$D$20+(6-S14)*'Scoring Guide'!$D$21+T14*'Scoring Guide'!$D$22+U14*'Scoring Guide'!$D$23+V14*'Scoring Guide'!$D$24+W14*'Scoring Guide'!$D$25+X14*'Scoring Guide'!$D$26+Y14*'Scoring Guide'!$D$27+Z14*'Scoring Guide'!$D$28+AA14*'Scoring Guide'!$D$29+AB14*'Scoring Guide'!$D$30+AC14*'Scoring Guide'!$D$31+(6-AD14)*'Scoring Guide'!$D$32+AE14*'Scoring Guide'!$D$33+(6-AF14)*'Scoring Guide'!$D$34+AG14*'Scoring Guide'!$D$35)/SUM('Scoring Guide'!$D$6:$D$35),2)</x:f>
        <x:v>3.4</x:v>
      </x:c>
    </x:row>
    <x:row r="15">
      <x:c r="A15" s="160" t="str">
        <x:v>L10</x:v>
      </x:c>
      <x:c r="B15" s="161" t="str">
        <x:v>LKPM dan pelaporan pasca-izin</x:v>
      </x:c>
      <x:c r="C15" s="136" t="str">
        <x:v>A</x:v>
      </x:c>
      <x:c r="D15" s="170" t="n">
        <x:v>5</x:v>
      </x:c>
      <x:c r="E15" s="170" t="n">
        <x:v>4</x:v>
      </x:c>
      <x:c r="F15" s="170" t="n">
        <x:v>3</x:v>
      </x:c>
      <x:c r="G15" s="170" t="n">
        <x:v>4</x:v>
      </x:c>
      <x:c r="H15" s="170" t="n">
        <x:v>4</x:v>
      </x:c>
      <x:c r="I15" s="170" t="n">
        <x:v>4</x:v>
      </x:c>
      <x:c r="J15" s="170" t="n">
        <x:v>3</x:v>
      </x:c>
      <x:c r="K15" s="170" t="n">
        <x:v>3</x:v>
      </x:c>
      <x:c r="L15" s="170" t="n">
        <x:v>3</x:v>
      </x:c>
      <x:c r="M15" s="170" t="n">
        <x:v>5</x:v>
      </x:c>
      <x:c r="N15" s="170" t="n">
        <x:v>3</x:v>
      </x:c>
      <x:c r="O15" s="170" t="n">
        <x:v>3</x:v>
      </x:c>
      <x:c r="P15" s="170" t="n">
        <x:v>4</x:v>
      </x:c>
      <x:c r="Q15" s="170" t="n">
        <x:v>4</x:v>
      </x:c>
      <x:c r="R15" s="170" t="n">
        <x:v>1</x:v>
      </x:c>
      <x:c r="S15" s="170" t="n">
        <x:v>4</x:v>
      </x:c>
      <x:c r="T15" s="170" t="n">
        <x:v>5</x:v>
      </x:c>
      <x:c r="U15" s="170" t="n">
        <x:v>4</x:v>
      </x:c>
      <x:c r="V15" s="170" t="n">
        <x:v>5</x:v>
      </x:c>
      <x:c r="W15" s="170" t="n">
        <x:v>3</x:v>
      </x:c>
      <x:c r="X15" s="170" t="n">
        <x:v>5</x:v>
      </x:c>
      <x:c r="Y15" s="170" t="n">
        <x:v>5</x:v>
      </x:c>
      <x:c r="Z15" s="170" t="n">
        <x:v>5</x:v>
      </x:c>
      <x:c r="AA15" s="170" t="n">
        <x:v>5</x:v>
      </x:c>
      <x:c r="AB15" s="170" t="n">
        <x:v>4</x:v>
      </x:c>
      <x:c r="AC15" s="170" t="n">
        <x:v>4</x:v>
      </x:c>
      <x:c r="AD15" s="170" t="n">
        <x:v>5</x:v>
      </x:c>
      <x:c r="AE15" s="170" t="n">
        <x:v>4</x:v>
      </x:c>
      <x:c r="AF15" s="170" t="n">
        <x:v>3</x:v>
      </x:c>
      <x:c r="AG15" s="170" t="n">
        <x:v>5</x:v>
      </x:c>
      <x:c r="AH15" s="176" t="n">
        <x:f>ROUND((D15*'Scoring Guide'!$D$6+E15*'Scoring Guide'!$D$7+F15*'Scoring Guide'!$D$8+G15*'Scoring Guide'!$D$9+H15*'Scoring Guide'!$D$10+I15*'Scoring Guide'!$D$11+(6-J15)*'Scoring Guide'!$D$12+(6-K15)*'Scoring Guide'!$D$13+(6-L15)*'Scoring Guide'!$D$14+(6-M15)*'Scoring Guide'!$D$15+(6-N15)*'Scoring Guide'!$D$16+(6-O15)*'Scoring Guide'!$D$17+(6-P15)*'Scoring Guide'!$D$18+(6-Q15)*'Scoring Guide'!$D$19+(6-R15)*'Scoring Guide'!$D$20+(6-S15)*'Scoring Guide'!$D$21+T15*'Scoring Guide'!$D$22+U15*'Scoring Guide'!$D$23+V15*'Scoring Guide'!$D$24+W15*'Scoring Guide'!$D$25+X15*'Scoring Guide'!$D$26+Y15*'Scoring Guide'!$D$27+Z15*'Scoring Guide'!$D$28+AA15*'Scoring Guide'!$D$29+AB15*'Scoring Guide'!$D$30+AC15*'Scoring Guide'!$D$31+(6-AD15)*'Scoring Guide'!$D$32+AE15*'Scoring Guide'!$D$33+(6-AF15)*'Scoring Guide'!$D$34+AG15*'Scoring Guide'!$D$35)/SUM('Scoring Guide'!$D$6:$D$35),2)</x:f>
        <x:v>3.83</x:v>
      </x:c>
    </x:row>
    <x:row r="16">
      <x:c r="A16" s="160" t="str">
        <x:v>L11</x:v>
      </x:c>
      <x:c r="B16" s="161" t="str">
        <x:v>Permit Audit, Remediation &amp; Regularization</x:v>
      </x:c>
      <x:c r="C16" s="136" t="str">
        <x:v>A</x:v>
      </x:c>
      <x:c r="D16" s="170" t="n">
        <x:v>4</x:v>
      </x:c>
      <x:c r="E16" s="170" t="n">
        <x:v>4</x:v>
      </x:c>
      <x:c r="F16" s="170" t="n">
        <x:v>3</x:v>
      </x:c>
      <x:c r="G16" s="170" t="n">
        <x:v>4</x:v>
      </x:c>
      <x:c r="H16" s="170" t="n">
        <x:v>4</x:v>
      </x:c>
      <x:c r="I16" s="170" t="n">
        <x:v>5</x:v>
      </x:c>
      <x:c r="J16" s="170" t="n">
        <x:v>3</x:v>
      </x:c>
      <x:c r="K16" s="170" t="n">
        <x:v>2</x:v>
      </x:c>
      <x:c r="L16" s="170" t="n">
        <x:v>2</x:v>
      </x:c>
      <x:c r="M16" s="170" t="n">
        <x:v>4</x:v>
      </x:c>
      <x:c r="N16" s="170" t="n">
        <x:v>2</x:v>
      </x:c>
      <x:c r="O16" s="170" t="n">
        <x:v>2</x:v>
      </x:c>
      <x:c r="P16" s="170" t="n">
        <x:v>3</x:v>
      </x:c>
      <x:c r="Q16" s="170" t="n">
        <x:v>4</x:v>
      </x:c>
      <x:c r="R16" s="170" t="n">
        <x:v>1</x:v>
      </x:c>
      <x:c r="S16" s="170" t="n">
        <x:v>3</x:v>
      </x:c>
      <x:c r="T16" s="170" t="n">
        <x:v>5</x:v>
      </x:c>
      <x:c r="U16" s="170" t="n">
        <x:v>4</x:v>
      </x:c>
      <x:c r="V16" s="170" t="n">
        <x:v>4</x:v>
      </x:c>
      <x:c r="W16" s="170" t="n">
        <x:v>3</x:v>
      </x:c>
      <x:c r="X16" s="170" t="n">
        <x:v>4</x:v>
      </x:c>
      <x:c r="Y16" s="170" t="n">
        <x:v>5</x:v>
      </x:c>
      <x:c r="Z16" s="170" t="n">
        <x:v>5</x:v>
      </x:c>
      <x:c r="AA16" s="170" t="n">
        <x:v>5</x:v>
      </x:c>
      <x:c r="AB16" s="170" t="n">
        <x:v>4</x:v>
      </x:c>
      <x:c r="AC16" s="170" t="n">
        <x:v>4</x:v>
      </x:c>
      <x:c r="AD16" s="170" t="n">
        <x:v>3</x:v>
      </x:c>
      <x:c r="AE16" s="170" t="n">
        <x:v>5</x:v>
      </x:c>
      <x:c r="AF16" s="170" t="n">
        <x:v>3</x:v>
      </x:c>
      <x:c r="AG16" s="170" t="n">
        <x:v>5</x:v>
      </x:c>
      <x:c r="AH16" s="176" t="n">
        <x:f>ROUND((D16*'Scoring Guide'!$D$6+E16*'Scoring Guide'!$D$7+F16*'Scoring Guide'!$D$8+G16*'Scoring Guide'!$D$9+H16*'Scoring Guide'!$D$10+I16*'Scoring Guide'!$D$11+(6-J16)*'Scoring Guide'!$D$12+(6-K16)*'Scoring Guide'!$D$13+(6-L16)*'Scoring Guide'!$D$14+(6-M16)*'Scoring Guide'!$D$15+(6-N16)*'Scoring Guide'!$D$16+(6-O16)*'Scoring Guide'!$D$17+(6-P16)*'Scoring Guide'!$D$18+(6-Q16)*'Scoring Guide'!$D$19+(6-R16)*'Scoring Guide'!$D$20+(6-S16)*'Scoring Guide'!$D$21+T16*'Scoring Guide'!$D$22+U16*'Scoring Guide'!$D$23+V16*'Scoring Guide'!$D$24+W16*'Scoring Guide'!$D$25+X16*'Scoring Guide'!$D$26+Y16*'Scoring Guide'!$D$27+Z16*'Scoring Guide'!$D$28+AA16*'Scoring Guide'!$D$29+AB16*'Scoring Guide'!$D$30+AC16*'Scoring Guide'!$D$31+(6-AD16)*'Scoring Guide'!$D$32+AE16*'Scoring Guide'!$D$33+(6-AF16)*'Scoring Guide'!$D$34+AG16*'Scoring Guide'!$D$35)/SUM('Scoring Guide'!$D$6:$D$35),2)</x:f>
        <x:v>3.99</x:v>
      </x:c>
    </x:row>
    <x:row r="17">
      <x:c r="A17" s="160" t="str">
        <x:v>L12</x:v>
      </x:c>
      <x:c r="B17" s="161" t="str">
        <x:v>Perpanjangan dan pembaruan izin</x:v>
      </x:c>
      <x:c r="C17" s="132" t="str">
        <x:v>B</x:v>
      </x:c>
      <x:c r="D17" s="170" t="n">
        <x:v>5</x:v>
      </x:c>
      <x:c r="E17" s="170" t="n">
        <x:v>4</x:v>
      </x:c>
      <x:c r="F17" s="170" t="n">
        <x:v>3</x:v>
      </x:c>
      <x:c r="G17" s="170" t="n">
        <x:v>4</x:v>
      </x:c>
      <x:c r="H17" s="170" t="n">
        <x:v>4</x:v>
      </x:c>
      <x:c r="I17" s="170" t="n">
        <x:v>4</x:v>
      </x:c>
      <x:c r="J17" s="170" t="n">
        <x:v>3</x:v>
      </x:c>
      <x:c r="K17" s="170" t="n">
        <x:v>3</x:v>
      </x:c>
      <x:c r="L17" s="170" t="n">
        <x:v>3</x:v>
      </x:c>
      <x:c r="M17" s="170" t="n">
        <x:v>5</x:v>
      </x:c>
      <x:c r="N17" s="170" t="n">
        <x:v>3</x:v>
      </x:c>
      <x:c r="O17" s="170" t="n">
        <x:v>3</x:v>
      </x:c>
      <x:c r="P17" s="170" t="n">
        <x:v>4</x:v>
      </x:c>
      <x:c r="Q17" s="170" t="n">
        <x:v>4</x:v>
      </x:c>
      <x:c r="R17" s="170" t="n">
        <x:v>1</x:v>
      </x:c>
      <x:c r="S17" s="170" t="n">
        <x:v>4</x:v>
      </x:c>
      <x:c r="T17" s="170" t="n">
        <x:v>5</x:v>
      </x:c>
      <x:c r="U17" s="170" t="n">
        <x:v>4</x:v>
      </x:c>
      <x:c r="V17" s="170" t="n">
        <x:v>5</x:v>
      </x:c>
      <x:c r="W17" s="170" t="n">
        <x:v>3</x:v>
      </x:c>
      <x:c r="X17" s="170" t="n">
        <x:v>5</x:v>
      </x:c>
      <x:c r="Y17" s="170" t="n">
        <x:v>5</x:v>
      </x:c>
      <x:c r="Z17" s="170" t="n">
        <x:v>5</x:v>
      </x:c>
      <x:c r="AA17" s="170" t="n">
        <x:v>5</x:v>
      </x:c>
      <x:c r="AB17" s="170" t="n">
        <x:v>4</x:v>
      </x:c>
      <x:c r="AC17" s="170" t="n">
        <x:v>4</x:v>
      </x:c>
      <x:c r="AD17" s="170" t="n">
        <x:v>5</x:v>
      </x:c>
      <x:c r="AE17" s="170" t="n">
        <x:v>4</x:v>
      </x:c>
      <x:c r="AF17" s="170" t="n">
        <x:v>3</x:v>
      </x:c>
      <x:c r="AG17" s="170" t="n">
        <x:v>5</x:v>
      </x:c>
      <x:c r="AH17" s="176" t="n">
        <x:f>ROUND((D17*'Scoring Guide'!$D$6+E17*'Scoring Guide'!$D$7+F17*'Scoring Guide'!$D$8+G17*'Scoring Guide'!$D$9+H17*'Scoring Guide'!$D$10+I17*'Scoring Guide'!$D$11+(6-J17)*'Scoring Guide'!$D$12+(6-K17)*'Scoring Guide'!$D$13+(6-L17)*'Scoring Guide'!$D$14+(6-M17)*'Scoring Guide'!$D$15+(6-N17)*'Scoring Guide'!$D$16+(6-O17)*'Scoring Guide'!$D$17+(6-P17)*'Scoring Guide'!$D$18+(6-Q17)*'Scoring Guide'!$D$19+(6-R17)*'Scoring Guide'!$D$20+(6-S17)*'Scoring Guide'!$D$21+T17*'Scoring Guide'!$D$22+U17*'Scoring Guide'!$D$23+V17*'Scoring Guide'!$D$24+W17*'Scoring Guide'!$D$25+X17*'Scoring Guide'!$D$26+Y17*'Scoring Guide'!$D$27+Z17*'Scoring Guide'!$D$28+AA17*'Scoring Guide'!$D$29+AB17*'Scoring Guide'!$D$30+AC17*'Scoring Guide'!$D$31+(6-AD17)*'Scoring Guide'!$D$32+AE17*'Scoring Guide'!$D$33+(6-AF17)*'Scoring Guide'!$D$34+AG17*'Scoring Guide'!$D$35)/SUM('Scoring Guide'!$D$6:$D$35),2)</x:f>
        <x:v>3.83</x:v>
      </x:c>
    </x:row>
    <x:row r="18">
      <x:c r="A18" s="160" t="str">
        <x:v>L13</x:v>
      </x:c>
      <x:c r="B18" s="161" t="str">
        <x:v>Pencabutan dan penutupan izin</x:v>
      </x:c>
      <x:c r="C18" s="134" t="str">
        <x:v>C</x:v>
      </x:c>
      <x:c r="D18" s="170" t="n">
        <x:v>3</x:v>
      </x:c>
      <x:c r="E18" s="170" t="n">
        <x:v>3</x:v>
      </x:c>
      <x:c r="F18" s="170" t="n">
        <x:v>3</x:v>
      </x:c>
      <x:c r="G18" s="170" t="n">
        <x:v>4</x:v>
      </x:c>
      <x:c r="H18" s="170" t="n">
        <x:v>2</x:v>
      </x:c>
      <x:c r="I18" s="170" t="n">
        <x:v>3</x:v>
      </x:c>
      <x:c r="J18" s="170" t="n">
        <x:v>3</x:v>
      </x:c>
      <x:c r="K18" s="170" t="n">
        <x:v>3</x:v>
      </x:c>
      <x:c r="L18" s="170" t="n">
        <x:v>3</x:v>
      </x:c>
      <x:c r="M18" s="170" t="n">
        <x:v>4</x:v>
      </x:c>
      <x:c r="N18" s="170" t="n">
        <x:v>3</x:v>
      </x:c>
      <x:c r="O18" s="170" t="n">
        <x:v>3</x:v>
      </x:c>
      <x:c r="P18" s="170" t="n">
        <x:v>3</x:v>
      </x:c>
      <x:c r="Q18" s="170" t="n">
        <x:v>3</x:v>
      </x:c>
      <x:c r="R18" s="170" t="n">
        <x:v>1</x:v>
      </x:c>
      <x:c r="S18" s="170" t="n">
        <x:v>3</x:v>
      </x:c>
      <x:c r="T18" s="170" t="n">
        <x:v>4</x:v>
      </x:c>
      <x:c r="U18" s="170" t="n">
        <x:v>4</x:v>
      </x:c>
      <x:c r="V18" s="170" t="n">
        <x:v>3</x:v>
      </x:c>
      <x:c r="W18" s="170" t="n">
        <x:v>4</x:v>
      </x:c>
      <x:c r="X18" s="170" t="n">
        <x:v>3</x:v>
      </x:c>
      <x:c r="Y18" s="170" t="n">
        <x:v>5</x:v>
      </x:c>
      <x:c r="Z18" s="170" t="n">
        <x:v>3</x:v>
      </x:c>
      <x:c r="AA18" s="170" t="n">
        <x:v>3</x:v>
      </x:c>
      <x:c r="AB18" s="170" t="n">
        <x:v>2</x:v>
      </x:c>
      <x:c r="AC18" s="170" t="n">
        <x:v>3</x:v>
      </x:c>
      <x:c r="AD18" s="170" t="n">
        <x:v>3</x:v>
      </x:c>
      <x:c r="AE18" s="170" t="n">
        <x:v>4</x:v>
      </x:c>
      <x:c r="AF18" s="170" t="n">
        <x:v>2</x:v>
      </x:c>
      <x:c r="AG18" s="170" t="n">
        <x:v>3</x:v>
      </x:c>
      <x:c r="AH18" s="176" t="n">
        <x:f>ROUND((D18*'Scoring Guide'!$D$6+E18*'Scoring Guide'!$D$7+F18*'Scoring Guide'!$D$8+G18*'Scoring Guide'!$D$9+H18*'Scoring Guide'!$D$10+I18*'Scoring Guide'!$D$11+(6-J18)*'Scoring Guide'!$D$12+(6-K18)*'Scoring Guide'!$D$13+(6-L18)*'Scoring Guide'!$D$14+(6-M18)*'Scoring Guide'!$D$15+(6-N18)*'Scoring Guide'!$D$16+(6-O18)*'Scoring Guide'!$D$17+(6-P18)*'Scoring Guide'!$D$18+(6-Q18)*'Scoring Guide'!$D$19+(6-R18)*'Scoring Guide'!$D$20+(6-S18)*'Scoring Guide'!$D$21+T18*'Scoring Guide'!$D$22+U18*'Scoring Guide'!$D$23+V18*'Scoring Guide'!$D$24+W18*'Scoring Guide'!$D$25+X18*'Scoring Guide'!$D$26+Y18*'Scoring Guide'!$D$27+Z18*'Scoring Guide'!$D$28+AA18*'Scoring Guide'!$D$29+AB18*'Scoring Guide'!$D$30+AC18*'Scoring Guide'!$D$31+(6-AD18)*'Scoring Guide'!$D$32+AE18*'Scoring Guide'!$D$33+(6-AF18)*'Scoring Guide'!$D$34+AG18*'Scoring Guide'!$D$35)/SUM('Scoring Guide'!$D$6:$D$35),2)</x:f>
        <x:v>3.27</x:v>
      </x:c>
    </x:row>
    <x:row r="19">
      <x:c r="A19" s="160" t="str">
        <x:v>L14</x:v>
      </x:c>
      <x:c r="B19" s="161" t="str">
        <x:v>Annual Regulatory Care / Compliance Retainer</x:v>
      </x:c>
      <x:c r="C19" s="136" t="str">
        <x:v>A</x:v>
      </x:c>
      <x:c r="D19" s="170" t="n">
        <x:v>5</x:v>
      </x:c>
      <x:c r="E19" s="170" t="n">
        <x:v>4</x:v>
      </x:c>
      <x:c r="F19" s="170" t="n">
        <x:v>3</x:v>
      </x:c>
      <x:c r="G19" s="170" t="n">
        <x:v>4</x:v>
      </x:c>
      <x:c r="H19" s="170" t="n">
        <x:v>4</x:v>
      </x:c>
      <x:c r="I19" s="170" t="n">
        <x:v>4</x:v>
      </x:c>
      <x:c r="J19" s="170" t="n">
        <x:v>3</x:v>
      </x:c>
      <x:c r="K19" s="170" t="n">
        <x:v>3</x:v>
      </x:c>
      <x:c r="L19" s="170" t="n">
        <x:v>3</x:v>
      </x:c>
      <x:c r="M19" s="170" t="n">
        <x:v>5</x:v>
      </x:c>
      <x:c r="N19" s="170" t="n">
        <x:v>3</x:v>
      </x:c>
      <x:c r="O19" s="170" t="n">
        <x:v>3</x:v>
      </x:c>
      <x:c r="P19" s="170" t="n">
        <x:v>4</x:v>
      </x:c>
      <x:c r="Q19" s="170" t="n">
        <x:v>4</x:v>
      </x:c>
      <x:c r="R19" s="170" t="n">
        <x:v>1</x:v>
      </x:c>
      <x:c r="S19" s="170" t="n">
        <x:v>4</x:v>
      </x:c>
      <x:c r="T19" s="170" t="n">
        <x:v>5</x:v>
      </x:c>
      <x:c r="U19" s="170" t="n">
        <x:v>4</x:v>
      </x:c>
      <x:c r="V19" s="170" t="n">
        <x:v>5</x:v>
      </x:c>
      <x:c r="W19" s="170" t="n">
        <x:v>3</x:v>
      </x:c>
      <x:c r="X19" s="170" t="n">
        <x:v>5</x:v>
      </x:c>
      <x:c r="Y19" s="170" t="n">
        <x:v>5</x:v>
      </x:c>
      <x:c r="Z19" s="170" t="n">
        <x:v>5</x:v>
      </x:c>
      <x:c r="AA19" s="170" t="n">
        <x:v>5</x:v>
      </x:c>
      <x:c r="AB19" s="170" t="n">
        <x:v>4</x:v>
      </x:c>
      <x:c r="AC19" s="170" t="n">
        <x:v>4</x:v>
      </x:c>
      <x:c r="AD19" s="170" t="n">
        <x:v>5</x:v>
      </x:c>
      <x:c r="AE19" s="170" t="n">
        <x:v>4</x:v>
      </x:c>
      <x:c r="AF19" s="170" t="n">
        <x:v>3</x:v>
      </x:c>
      <x:c r="AG19" s="170" t="n">
        <x:v>5</x:v>
      </x:c>
      <x:c r="AH19" s="176" t="n">
        <x:f>ROUND((D19*'Scoring Guide'!$D$6+E19*'Scoring Guide'!$D$7+F19*'Scoring Guide'!$D$8+G19*'Scoring Guide'!$D$9+H19*'Scoring Guide'!$D$10+I19*'Scoring Guide'!$D$11+(6-J19)*'Scoring Guide'!$D$12+(6-K19)*'Scoring Guide'!$D$13+(6-L19)*'Scoring Guide'!$D$14+(6-M19)*'Scoring Guide'!$D$15+(6-N19)*'Scoring Guide'!$D$16+(6-O19)*'Scoring Guide'!$D$17+(6-P19)*'Scoring Guide'!$D$18+(6-Q19)*'Scoring Guide'!$D$19+(6-R19)*'Scoring Guide'!$D$20+(6-S19)*'Scoring Guide'!$D$21+T19*'Scoring Guide'!$D$22+U19*'Scoring Guide'!$D$23+V19*'Scoring Guide'!$D$24+W19*'Scoring Guide'!$D$25+X19*'Scoring Guide'!$D$26+Y19*'Scoring Guide'!$D$27+Z19*'Scoring Guide'!$D$28+AA19*'Scoring Guide'!$D$29+AB19*'Scoring Guide'!$D$30+AC19*'Scoring Guide'!$D$31+(6-AD19)*'Scoring Guide'!$D$32+AE19*'Scoring Guide'!$D$33+(6-AF19)*'Scoring Guide'!$D$34+AG19*'Scoring Guide'!$D$35)/SUM('Scoring Guide'!$D$6:$D$35),2)</x:f>
        <x:v>3.83</x:v>
      </x:c>
    </x:row>
    <x:row r="20">
      <x:c r="A20" s="160" t="str">
        <x:v>L15</x:v>
      </x:c>
      <x:c r="B20" s="161" t="str">
        <x:v>Project &amp; Investment Permit Management</x:v>
      </x:c>
      <x:c r="C20" s="132" t="str">
        <x:v>B</x:v>
      </x:c>
      <x:c r="D20" s="170" t="n">
        <x:v>5</x:v>
      </x:c>
      <x:c r="E20" s="170" t="n">
        <x:v>4</x:v>
      </x:c>
      <x:c r="F20" s="170" t="n">
        <x:v>3</x:v>
      </x:c>
      <x:c r="G20" s="170" t="n">
        <x:v>5</x:v>
      </x:c>
      <x:c r="H20" s="170" t="n">
        <x:v>4</x:v>
      </x:c>
      <x:c r="I20" s="170" t="n">
        <x:v>5</x:v>
      </x:c>
      <x:c r="J20" s="170" t="n">
        <x:v>5</x:v>
      </x:c>
      <x:c r="K20" s="170" t="n">
        <x:v>5</x:v>
      </x:c>
      <x:c r="L20" s="170" t="n">
        <x:v>5</x:v>
      </x:c>
      <x:c r="M20" s="170" t="n">
        <x:v>5</x:v>
      </x:c>
      <x:c r="N20" s="170" t="n">
        <x:v>5</x:v>
      </x:c>
      <x:c r="O20" s="170" t="n">
        <x:v>4</x:v>
      </x:c>
      <x:c r="P20" s="170" t="n">
        <x:v>5</x:v>
      </x:c>
      <x:c r="Q20" s="170" t="n">
        <x:v>5</x:v>
      </x:c>
      <x:c r="R20" s="170" t="n">
        <x:v>5</x:v>
      </x:c>
      <x:c r="S20" s="170" t="n">
        <x:v>5</x:v>
      </x:c>
      <x:c r="T20" s="170" t="n">
        <x:v>2</x:v>
      </x:c>
      <x:c r="U20" s="170" t="n">
        <x:v>2</x:v>
      </x:c>
      <x:c r="V20" s="170" t="n">
        <x:v>1</x:v>
      </x:c>
      <x:c r="W20" s="170" t="n">
        <x:v>5</x:v>
      </x:c>
      <x:c r="X20" s="170" t="n">
        <x:v>3</x:v>
      </x:c>
      <x:c r="Y20" s="170" t="n">
        <x:v>5</x:v>
      </x:c>
      <x:c r="Z20" s="170" t="n">
        <x:v>5</x:v>
      </x:c>
      <x:c r="AA20" s="170" t="n">
        <x:v>5</x:v>
      </x:c>
      <x:c r="AB20" s="170" t="n">
        <x:v>5</x:v>
      </x:c>
      <x:c r="AC20" s="170" t="n">
        <x:v>4</x:v>
      </x:c>
      <x:c r="AD20" s="170" t="n">
        <x:v>5</x:v>
      </x:c>
      <x:c r="AE20" s="170" t="n">
        <x:v>2</x:v>
      </x:c>
      <x:c r="AF20" s="170" t="n">
        <x:v>5</x:v>
      </x:c>
      <x:c r="AG20" s="170" t="n">
        <x:v>5</x:v>
      </x:c>
      <x:c r="AH20" s="176" t="n">
        <x:f>ROUND((D20*'Scoring Guide'!$D$6+E20*'Scoring Guide'!$D$7+F20*'Scoring Guide'!$D$8+G20*'Scoring Guide'!$D$9+H20*'Scoring Guide'!$D$10+I20*'Scoring Guide'!$D$11+(6-J20)*'Scoring Guide'!$D$12+(6-K20)*'Scoring Guide'!$D$13+(6-L20)*'Scoring Guide'!$D$14+(6-M20)*'Scoring Guide'!$D$15+(6-N20)*'Scoring Guide'!$D$16+(6-O20)*'Scoring Guide'!$D$17+(6-P20)*'Scoring Guide'!$D$18+(6-Q20)*'Scoring Guide'!$D$19+(6-R20)*'Scoring Guide'!$D$20+(6-S20)*'Scoring Guide'!$D$21+T20*'Scoring Guide'!$D$22+U20*'Scoring Guide'!$D$23+V20*'Scoring Guide'!$D$24+W20*'Scoring Guide'!$D$25+X20*'Scoring Guide'!$D$26+Y20*'Scoring Guide'!$D$27+Z20*'Scoring Guide'!$D$28+AA20*'Scoring Guide'!$D$29+AB20*'Scoring Guide'!$D$30+AC20*'Scoring Guide'!$D$31+(6-AD20)*'Scoring Guide'!$D$32+AE20*'Scoring Guide'!$D$33+(6-AF20)*'Scoring Guide'!$D$34+AG20*'Scoring Guide'!$D$35)/SUM('Scoring Guide'!$D$6:$D$35),2)</x:f>
        <x:v>3.01</x:v>
      </x:c>
    </x:row>
    <x:row r="21">
      <x:c r="A21" s="160" t="str">
        <x:v>L16</x:v>
      </x:c>
      <x:c r="B21" s="161" t="str">
        <x:v>KKPR dan persetujuan lokasi</x:v>
      </x:c>
      <x:c r="C21" s="132" t="str">
        <x:v>B</x:v>
      </x:c>
      <x:c r="D21" s="170" t="n">
        <x:v>5</x:v>
      </x:c>
      <x:c r="E21" s="170" t="n">
        <x:v>4</x:v>
      </x:c>
      <x:c r="F21" s="170" t="n">
        <x:v>3</x:v>
      </x:c>
      <x:c r="G21" s="170" t="n">
        <x:v>5</x:v>
      </x:c>
      <x:c r="H21" s="170" t="n">
        <x:v>4</x:v>
      </x:c>
      <x:c r="I21" s="170" t="n">
        <x:v>5</x:v>
      </x:c>
      <x:c r="J21" s="170" t="n">
        <x:v>5</x:v>
      </x:c>
      <x:c r="K21" s="170" t="n">
        <x:v>5</x:v>
      </x:c>
      <x:c r="L21" s="170" t="n">
        <x:v>5</x:v>
      </x:c>
      <x:c r="M21" s="170" t="n">
        <x:v>5</x:v>
      </x:c>
      <x:c r="N21" s="170" t="n">
        <x:v>5</x:v>
      </x:c>
      <x:c r="O21" s="170" t="n">
        <x:v>4</x:v>
      </x:c>
      <x:c r="P21" s="170" t="n">
        <x:v>5</x:v>
      </x:c>
      <x:c r="Q21" s="170" t="n">
        <x:v>5</x:v>
      </x:c>
      <x:c r="R21" s="170" t="n">
        <x:v>5</x:v>
      </x:c>
      <x:c r="S21" s="170" t="n">
        <x:v>5</x:v>
      </x:c>
      <x:c r="T21" s="170" t="n">
        <x:v>2</x:v>
      </x:c>
      <x:c r="U21" s="170" t="n">
        <x:v>2</x:v>
      </x:c>
      <x:c r="V21" s="170" t="n">
        <x:v>1</x:v>
      </x:c>
      <x:c r="W21" s="170" t="n">
        <x:v>5</x:v>
      </x:c>
      <x:c r="X21" s="170" t="n">
        <x:v>3</x:v>
      </x:c>
      <x:c r="Y21" s="170" t="n">
        <x:v>5</x:v>
      </x:c>
      <x:c r="Z21" s="170" t="n">
        <x:v>5</x:v>
      </x:c>
      <x:c r="AA21" s="170" t="n">
        <x:v>5</x:v>
      </x:c>
      <x:c r="AB21" s="170" t="n">
        <x:v>5</x:v>
      </x:c>
      <x:c r="AC21" s="170" t="n">
        <x:v>4</x:v>
      </x:c>
      <x:c r="AD21" s="170" t="n">
        <x:v>5</x:v>
      </x:c>
      <x:c r="AE21" s="170" t="n">
        <x:v>2</x:v>
      </x:c>
      <x:c r="AF21" s="170" t="n">
        <x:v>5</x:v>
      </x:c>
      <x:c r="AG21" s="170" t="n">
        <x:v>5</x:v>
      </x:c>
      <x:c r="AH21" s="176" t="n">
        <x:f>ROUND((D21*'Scoring Guide'!$D$6+E21*'Scoring Guide'!$D$7+F21*'Scoring Guide'!$D$8+G21*'Scoring Guide'!$D$9+H21*'Scoring Guide'!$D$10+I21*'Scoring Guide'!$D$11+(6-J21)*'Scoring Guide'!$D$12+(6-K21)*'Scoring Guide'!$D$13+(6-L21)*'Scoring Guide'!$D$14+(6-M21)*'Scoring Guide'!$D$15+(6-N21)*'Scoring Guide'!$D$16+(6-O21)*'Scoring Guide'!$D$17+(6-P21)*'Scoring Guide'!$D$18+(6-Q21)*'Scoring Guide'!$D$19+(6-R21)*'Scoring Guide'!$D$20+(6-S21)*'Scoring Guide'!$D$21+T21*'Scoring Guide'!$D$22+U21*'Scoring Guide'!$D$23+V21*'Scoring Guide'!$D$24+W21*'Scoring Guide'!$D$25+X21*'Scoring Guide'!$D$26+Y21*'Scoring Guide'!$D$27+Z21*'Scoring Guide'!$D$28+AA21*'Scoring Guide'!$D$29+AB21*'Scoring Guide'!$D$30+AC21*'Scoring Guide'!$D$31+(6-AD21)*'Scoring Guide'!$D$32+AE21*'Scoring Guide'!$D$33+(6-AF21)*'Scoring Guide'!$D$34+AG21*'Scoring Guide'!$D$35)/SUM('Scoring Guide'!$D$6:$D$35),2)</x:f>
        <x:v>3.01</x:v>
      </x:c>
    </x:row>
    <x:row r="22">
      <x:c r="A22" s="160" t="str">
        <x:v>L17</x:v>
      </x:c>
      <x:c r="B22" s="161" t="str">
        <x:v>Pertanahan dan land due-diligence perizinan</x:v>
      </x:c>
      <x:c r="C22" s="134" t="str">
        <x:v>C</x:v>
      </x:c>
      <x:c r="D22" s="170" t="n">
        <x:v>5</x:v>
      </x:c>
      <x:c r="E22" s="170" t="n">
        <x:v>4</x:v>
      </x:c>
      <x:c r="F22" s="170" t="n">
        <x:v>3</x:v>
      </x:c>
      <x:c r="G22" s="170" t="n">
        <x:v>5</x:v>
      </x:c>
      <x:c r="H22" s="170" t="n">
        <x:v>5</x:v>
      </x:c>
      <x:c r="I22" s="170" t="n">
        <x:v>4</x:v>
      </x:c>
      <x:c r="J22" s="170" t="n">
        <x:v>5</x:v>
      </x:c>
      <x:c r="K22" s="170" t="n">
        <x:v>5</x:v>
      </x:c>
      <x:c r="L22" s="170" t="n">
        <x:v>5</x:v>
      </x:c>
      <x:c r="M22" s="170" t="n">
        <x:v>5</x:v>
      </x:c>
      <x:c r="N22" s="170" t="n">
        <x:v>5</x:v>
      </x:c>
      <x:c r="O22" s="170" t="n">
        <x:v>4</x:v>
      </x:c>
      <x:c r="P22" s="170" t="n">
        <x:v>5</x:v>
      </x:c>
      <x:c r="Q22" s="170" t="n">
        <x:v>5</x:v>
      </x:c>
      <x:c r="R22" s="170" t="n">
        <x:v>3</x:v>
      </x:c>
      <x:c r="S22" s="170" t="n">
        <x:v>5</x:v>
      </x:c>
      <x:c r="T22" s="170" t="n">
        <x:v>2</x:v>
      </x:c>
      <x:c r="U22" s="170" t="n">
        <x:v>2</x:v>
      </x:c>
      <x:c r="V22" s="170" t="n">
        <x:v>1</x:v>
      </x:c>
      <x:c r="W22" s="170" t="n">
        <x:v>4</x:v>
      </x:c>
      <x:c r="X22" s="170" t="n">
        <x:v>4</x:v>
      </x:c>
      <x:c r="Y22" s="170" t="n">
        <x:v>4</x:v>
      </x:c>
      <x:c r="Z22" s="170" t="n">
        <x:v>4</x:v>
      </x:c>
      <x:c r="AA22" s="170" t="n">
        <x:v>5</x:v>
      </x:c>
      <x:c r="AB22" s="170" t="n">
        <x:v>5</x:v>
      </x:c>
      <x:c r="AC22" s="170" t="n">
        <x:v>3</x:v>
      </x:c>
      <x:c r="AD22" s="170" t="n">
        <x:v>5</x:v>
      </x:c>
      <x:c r="AE22" s="170" t="n">
        <x:v>1</x:v>
      </x:c>
      <x:c r="AF22" s="170" t="n">
        <x:v>5</x:v>
      </x:c>
      <x:c r="AG22" s="170" t="n">
        <x:v>4</x:v>
      </x:c>
      <x:c r="AH22" s="176" t="n">
        <x:f>ROUND((D22*'Scoring Guide'!$D$6+E22*'Scoring Guide'!$D$7+F22*'Scoring Guide'!$D$8+G22*'Scoring Guide'!$D$9+H22*'Scoring Guide'!$D$10+I22*'Scoring Guide'!$D$11+(6-J22)*'Scoring Guide'!$D$12+(6-K22)*'Scoring Guide'!$D$13+(6-L22)*'Scoring Guide'!$D$14+(6-M22)*'Scoring Guide'!$D$15+(6-N22)*'Scoring Guide'!$D$16+(6-O22)*'Scoring Guide'!$D$17+(6-P22)*'Scoring Guide'!$D$18+(6-Q22)*'Scoring Guide'!$D$19+(6-R22)*'Scoring Guide'!$D$20+(6-S22)*'Scoring Guide'!$D$21+T22*'Scoring Guide'!$D$22+U22*'Scoring Guide'!$D$23+V22*'Scoring Guide'!$D$24+W22*'Scoring Guide'!$D$25+X22*'Scoring Guide'!$D$26+Y22*'Scoring Guide'!$D$27+Z22*'Scoring Guide'!$D$28+AA22*'Scoring Guide'!$D$29+AB22*'Scoring Guide'!$D$30+AC22*'Scoring Guide'!$D$31+(6-AD22)*'Scoring Guide'!$D$32+AE22*'Scoring Guide'!$D$33+(6-AF22)*'Scoring Guide'!$D$34+AG22*'Scoring Guide'!$D$35)/SUM('Scoring Guide'!$D$6:$D$35),2)</x:f>
        <x:v>2.85</x:v>
      </x:c>
    </x:row>
    <x:row r="23">
      <x:c r="A23" s="160" t="str">
        <x:v>L18</x:v>
      </x:c>
      <x:c r="B23" s="161" t="str">
        <x:v>Persetujuan lingkungan</x:v>
      </x:c>
      <x:c r="C23" s="132" t="str">
        <x:v>B</x:v>
      </x:c>
      <x:c r="D23" s="170" t="n">
        <x:v>5</x:v>
      </x:c>
      <x:c r="E23" s="170" t="n">
        <x:v>4</x:v>
      </x:c>
      <x:c r="F23" s="170" t="n">
        <x:v>3</x:v>
      </x:c>
      <x:c r="G23" s="170" t="n">
        <x:v>5</x:v>
      </x:c>
      <x:c r="H23" s="170" t="n">
        <x:v>4</x:v>
      </x:c>
      <x:c r="I23" s="170" t="n">
        <x:v>5</x:v>
      </x:c>
      <x:c r="J23" s="170" t="n">
        <x:v>5</x:v>
      </x:c>
      <x:c r="K23" s="170" t="n">
        <x:v>5</x:v>
      </x:c>
      <x:c r="L23" s="170" t="n">
        <x:v>5</x:v>
      </x:c>
      <x:c r="M23" s="170" t="n">
        <x:v>5</x:v>
      </x:c>
      <x:c r="N23" s="170" t="n">
        <x:v>5</x:v>
      </x:c>
      <x:c r="O23" s="170" t="n">
        <x:v>4</x:v>
      </x:c>
      <x:c r="P23" s="170" t="n">
        <x:v>5</x:v>
      </x:c>
      <x:c r="Q23" s="170" t="n">
        <x:v>5</x:v>
      </x:c>
      <x:c r="R23" s="170" t="n">
        <x:v>5</x:v>
      </x:c>
      <x:c r="S23" s="170" t="n">
        <x:v>5</x:v>
      </x:c>
      <x:c r="T23" s="170" t="n">
        <x:v>2</x:v>
      </x:c>
      <x:c r="U23" s="170" t="n">
        <x:v>2</x:v>
      </x:c>
      <x:c r="V23" s="170" t="n">
        <x:v>1</x:v>
      </x:c>
      <x:c r="W23" s="170" t="n">
        <x:v>5</x:v>
      </x:c>
      <x:c r="X23" s="170" t="n">
        <x:v>3</x:v>
      </x:c>
      <x:c r="Y23" s="170" t="n">
        <x:v>5</x:v>
      </x:c>
      <x:c r="Z23" s="170" t="n">
        <x:v>5</x:v>
      </x:c>
      <x:c r="AA23" s="170" t="n">
        <x:v>5</x:v>
      </x:c>
      <x:c r="AB23" s="170" t="n">
        <x:v>5</x:v>
      </x:c>
      <x:c r="AC23" s="170" t="n">
        <x:v>4</x:v>
      </x:c>
      <x:c r="AD23" s="170" t="n">
        <x:v>5</x:v>
      </x:c>
      <x:c r="AE23" s="170" t="n">
        <x:v>2</x:v>
      </x:c>
      <x:c r="AF23" s="170" t="n">
        <x:v>5</x:v>
      </x:c>
      <x:c r="AG23" s="170" t="n">
        <x:v>5</x:v>
      </x:c>
      <x:c r="AH23" s="176" t="n">
        <x:f>ROUND((D23*'Scoring Guide'!$D$6+E23*'Scoring Guide'!$D$7+F23*'Scoring Guide'!$D$8+G23*'Scoring Guide'!$D$9+H23*'Scoring Guide'!$D$10+I23*'Scoring Guide'!$D$11+(6-J23)*'Scoring Guide'!$D$12+(6-K23)*'Scoring Guide'!$D$13+(6-L23)*'Scoring Guide'!$D$14+(6-M23)*'Scoring Guide'!$D$15+(6-N23)*'Scoring Guide'!$D$16+(6-O23)*'Scoring Guide'!$D$17+(6-P23)*'Scoring Guide'!$D$18+(6-Q23)*'Scoring Guide'!$D$19+(6-R23)*'Scoring Guide'!$D$20+(6-S23)*'Scoring Guide'!$D$21+T23*'Scoring Guide'!$D$22+U23*'Scoring Guide'!$D$23+V23*'Scoring Guide'!$D$24+W23*'Scoring Guide'!$D$25+X23*'Scoring Guide'!$D$26+Y23*'Scoring Guide'!$D$27+Z23*'Scoring Guide'!$D$28+AA23*'Scoring Guide'!$D$29+AB23*'Scoring Guide'!$D$30+AC23*'Scoring Guide'!$D$31+(6-AD23)*'Scoring Guide'!$D$32+AE23*'Scoring Guide'!$D$33+(6-AF23)*'Scoring Guide'!$D$34+AG23*'Scoring Guide'!$D$35)/SUM('Scoring Guide'!$D$6:$D$35),2)</x:f>
        <x:v>3.01</x:v>
      </x:c>
    </x:row>
    <x:row r="24">
      <x:c r="A24" s="160" t="str">
        <x:v>L19</x:v>
      </x:c>
      <x:c r="B24" s="161" t="str">
        <x:v>PBG dan SLF</x:v>
      </x:c>
      <x:c r="C24" s="132" t="str">
        <x:v>B</x:v>
      </x:c>
      <x:c r="D24" s="170" t="n">
        <x:v>5</x:v>
      </x:c>
      <x:c r="E24" s="170" t="n">
        <x:v>4</x:v>
      </x:c>
      <x:c r="F24" s="170" t="n">
        <x:v>3</x:v>
      </x:c>
      <x:c r="G24" s="170" t="n">
        <x:v>5</x:v>
      </x:c>
      <x:c r="H24" s="170" t="n">
        <x:v>4</x:v>
      </x:c>
      <x:c r="I24" s="170" t="n">
        <x:v>5</x:v>
      </x:c>
      <x:c r="J24" s="170" t="n">
        <x:v>5</x:v>
      </x:c>
      <x:c r="K24" s="170" t="n">
        <x:v>5</x:v>
      </x:c>
      <x:c r="L24" s="170" t="n">
        <x:v>5</x:v>
      </x:c>
      <x:c r="M24" s="170" t="n">
        <x:v>5</x:v>
      </x:c>
      <x:c r="N24" s="170" t="n">
        <x:v>5</x:v>
      </x:c>
      <x:c r="O24" s="170" t="n">
        <x:v>4</x:v>
      </x:c>
      <x:c r="P24" s="170" t="n">
        <x:v>5</x:v>
      </x:c>
      <x:c r="Q24" s="170" t="n">
        <x:v>5</x:v>
      </x:c>
      <x:c r="R24" s="170" t="n">
        <x:v>5</x:v>
      </x:c>
      <x:c r="S24" s="170" t="n">
        <x:v>5</x:v>
      </x:c>
      <x:c r="T24" s="170" t="n">
        <x:v>2</x:v>
      </x:c>
      <x:c r="U24" s="170" t="n">
        <x:v>2</x:v>
      </x:c>
      <x:c r="V24" s="170" t="n">
        <x:v>1</x:v>
      </x:c>
      <x:c r="W24" s="170" t="n">
        <x:v>5</x:v>
      </x:c>
      <x:c r="X24" s="170" t="n">
        <x:v>3</x:v>
      </x:c>
      <x:c r="Y24" s="170" t="n">
        <x:v>5</x:v>
      </x:c>
      <x:c r="Z24" s="170" t="n">
        <x:v>5</x:v>
      </x:c>
      <x:c r="AA24" s="170" t="n">
        <x:v>5</x:v>
      </x:c>
      <x:c r="AB24" s="170" t="n">
        <x:v>5</x:v>
      </x:c>
      <x:c r="AC24" s="170" t="n">
        <x:v>4</x:v>
      </x:c>
      <x:c r="AD24" s="170" t="n">
        <x:v>5</x:v>
      </x:c>
      <x:c r="AE24" s="170" t="n">
        <x:v>2</x:v>
      </x:c>
      <x:c r="AF24" s="170" t="n">
        <x:v>5</x:v>
      </x:c>
      <x:c r="AG24" s="170" t="n">
        <x:v>5</x:v>
      </x:c>
      <x:c r="AH24" s="176" t="n">
        <x:f>ROUND((D24*'Scoring Guide'!$D$6+E24*'Scoring Guide'!$D$7+F24*'Scoring Guide'!$D$8+G24*'Scoring Guide'!$D$9+H24*'Scoring Guide'!$D$10+I24*'Scoring Guide'!$D$11+(6-J24)*'Scoring Guide'!$D$12+(6-K24)*'Scoring Guide'!$D$13+(6-L24)*'Scoring Guide'!$D$14+(6-M24)*'Scoring Guide'!$D$15+(6-N24)*'Scoring Guide'!$D$16+(6-O24)*'Scoring Guide'!$D$17+(6-P24)*'Scoring Guide'!$D$18+(6-Q24)*'Scoring Guide'!$D$19+(6-R24)*'Scoring Guide'!$D$20+(6-S24)*'Scoring Guide'!$D$21+T24*'Scoring Guide'!$D$22+U24*'Scoring Guide'!$D$23+V24*'Scoring Guide'!$D$24+W24*'Scoring Guide'!$D$25+X24*'Scoring Guide'!$D$26+Y24*'Scoring Guide'!$D$27+Z24*'Scoring Guide'!$D$28+AA24*'Scoring Guide'!$D$29+AB24*'Scoring Guide'!$D$30+AC24*'Scoring Guide'!$D$31+(6-AD24)*'Scoring Guide'!$D$32+AE24*'Scoring Guide'!$D$33+(6-AF24)*'Scoring Guide'!$D$34+AG24*'Scoring Guide'!$D$35)/SUM('Scoring Guide'!$D$6:$D$35),2)</x:f>
        <x:v>3.01</x:v>
      </x:c>
    </x:row>
    <x:row r="25">
      <x:c r="A25" s="160" t="str">
        <x:v>L20</x:v>
      </x:c>
      <x:c r="B25" s="161" t="str">
        <x:v>Perizinan industri dan manufaktur</x:v>
      </x:c>
      <x:c r="C25" s="132" t="str">
        <x:v>B</x:v>
      </x:c>
      <x:c r="D25" s="170" t="n">
        <x:v>5</x:v>
      </x:c>
      <x:c r="E25" s="170" t="n">
        <x:v>4</x:v>
      </x:c>
      <x:c r="F25" s="170" t="n">
        <x:v>3</x:v>
      </x:c>
      <x:c r="G25" s="170" t="n">
        <x:v>5</x:v>
      </x:c>
      <x:c r="H25" s="170" t="n">
        <x:v>4</x:v>
      </x:c>
      <x:c r="I25" s="170" t="n">
        <x:v>5</x:v>
      </x:c>
      <x:c r="J25" s="170" t="n">
        <x:v>5</x:v>
      </x:c>
      <x:c r="K25" s="170" t="n">
        <x:v>5</x:v>
      </x:c>
      <x:c r="L25" s="170" t="n">
        <x:v>5</x:v>
      </x:c>
      <x:c r="M25" s="170" t="n">
        <x:v>5</x:v>
      </x:c>
      <x:c r="N25" s="170" t="n">
        <x:v>5</x:v>
      </x:c>
      <x:c r="O25" s="170" t="n">
        <x:v>4</x:v>
      </x:c>
      <x:c r="P25" s="170" t="n">
        <x:v>5</x:v>
      </x:c>
      <x:c r="Q25" s="170" t="n">
        <x:v>5</x:v>
      </x:c>
      <x:c r="R25" s="170" t="n">
        <x:v>5</x:v>
      </x:c>
      <x:c r="S25" s="170" t="n">
        <x:v>5</x:v>
      </x:c>
      <x:c r="T25" s="170" t="n">
        <x:v>2</x:v>
      </x:c>
      <x:c r="U25" s="170" t="n">
        <x:v>2</x:v>
      </x:c>
      <x:c r="V25" s="170" t="n">
        <x:v>1</x:v>
      </x:c>
      <x:c r="W25" s="170" t="n">
        <x:v>5</x:v>
      </x:c>
      <x:c r="X25" s="170" t="n">
        <x:v>3</x:v>
      </x:c>
      <x:c r="Y25" s="170" t="n">
        <x:v>5</x:v>
      </x:c>
      <x:c r="Z25" s="170" t="n">
        <x:v>5</x:v>
      </x:c>
      <x:c r="AA25" s="170" t="n">
        <x:v>5</x:v>
      </x:c>
      <x:c r="AB25" s="170" t="n">
        <x:v>5</x:v>
      </x:c>
      <x:c r="AC25" s="170" t="n">
        <x:v>4</x:v>
      </x:c>
      <x:c r="AD25" s="170" t="n">
        <x:v>5</x:v>
      </x:c>
      <x:c r="AE25" s="170" t="n">
        <x:v>2</x:v>
      </x:c>
      <x:c r="AF25" s="170" t="n">
        <x:v>5</x:v>
      </x:c>
      <x:c r="AG25" s="170" t="n">
        <x:v>5</x:v>
      </x:c>
      <x:c r="AH25" s="176" t="n">
        <x:f>ROUND((D25*'Scoring Guide'!$D$6+E25*'Scoring Guide'!$D$7+F25*'Scoring Guide'!$D$8+G25*'Scoring Guide'!$D$9+H25*'Scoring Guide'!$D$10+I25*'Scoring Guide'!$D$11+(6-J25)*'Scoring Guide'!$D$12+(6-K25)*'Scoring Guide'!$D$13+(6-L25)*'Scoring Guide'!$D$14+(6-M25)*'Scoring Guide'!$D$15+(6-N25)*'Scoring Guide'!$D$16+(6-O25)*'Scoring Guide'!$D$17+(6-P25)*'Scoring Guide'!$D$18+(6-Q25)*'Scoring Guide'!$D$19+(6-R25)*'Scoring Guide'!$D$20+(6-S25)*'Scoring Guide'!$D$21+T25*'Scoring Guide'!$D$22+U25*'Scoring Guide'!$D$23+V25*'Scoring Guide'!$D$24+W25*'Scoring Guide'!$D$25+X25*'Scoring Guide'!$D$26+Y25*'Scoring Guide'!$D$27+Z25*'Scoring Guide'!$D$28+AA25*'Scoring Guide'!$D$29+AB25*'Scoring Guide'!$D$30+AC25*'Scoring Guide'!$D$31+(6-AD25)*'Scoring Guide'!$D$32+AE25*'Scoring Guide'!$D$33+(6-AF25)*'Scoring Guide'!$D$34+AG25*'Scoring Guide'!$D$35)/SUM('Scoring Guide'!$D$6:$D$35),2)</x:f>
        <x:v>3.01</x:v>
      </x:c>
    </x:row>
    <x:row r="26">
      <x:c r="A26" s="160" t="str">
        <x:v>L21</x:v>
      </x:c>
      <x:c r="B26" s="161" t="str">
        <x:v>Construction Tender-Ready</x:v>
      </x:c>
      <x:c r="C26" s="132" t="str">
        <x:v>B</x:v>
      </x:c>
      <x:c r="D26" s="170" t="n">
        <x:v>5</x:v>
      </x:c>
      <x:c r="E26" s="170" t="n">
        <x:v>4</x:v>
      </x:c>
      <x:c r="F26" s="170" t="n">
        <x:v>3</x:v>
      </x:c>
      <x:c r="G26" s="170" t="n">
        <x:v>5</x:v>
      </x:c>
      <x:c r="H26" s="170" t="n">
        <x:v>5</x:v>
      </x:c>
      <x:c r="I26" s="170" t="n">
        <x:v>4</x:v>
      </x:c>
      <x:c r="J26" s="170" t="n">
        <x:v>5</x:v>
      </x:c>
      <x:c r="K26" s="170" t="n">
        <x:v>5</x:v>
      </x:c>
      <x:c r="L26" s="170" t="n">
        <x:v>5</x:v>
      </x:c>
      <x:c r="M26" s="170" t="n">
        <x:v>5</x:v>
      </x:c>
      <x:c r="N26" s="170" t="n">
        <x:v>5</x:v>
      </x:c>
      <x:c r="O26" s="170" t="n">
        <x:v>4</x:v>
      </x:c>
      <x:c r="P26" s="170" t="n">
        <x:v>5</x:v>
      </x:c>
      <x:c r="Q26" s="170" t="n">
        <x:v>5</x:v>
      </x:c>
      <x:c r="R26" s="170" t="n">
        <x:v>3</x:v>
      </x:c>
      <x:c r="S26" s="170" t="n">
        <x:v>5</x:v>
      </x:c>
      <x:c r="T26" s="170" t="n">
        <x:v>2</x:v>
      </x:c>
      <x:c r="U26" s="170" t="n">
        <x:v>2</x:v>
      </x:c>
      <x:c r="V26" s="170" t="n">
        <x:v>1</x:v>
      </x:c>
      <x:c r="W26" s="170" t="n">
        <x:v>4</x:v>
      </x:c>
      <x:c r="X26" s="170" t="n">
        <x:v>4</x:v>
      </x:c>
      <x:c r="Y26" s="170" t="n">
        <x:v>4</x:v>
      </x:c>
      <x:c r="Z26" s="170" t="n">
        <x:v>4</x:v>
      </x:c>
      <x:c r="AA26" s="170" t="n">
        <x:v>5</x:v>
      </x:c>
      <x:c r="AB26" s="170" t="n">
        <x:v>5</x:v>
      </x:c>
      <x:c r="AC26" s="170" t="n">
        <x:v>3</x:v>
      </x:c>
      <x:c r="AD26" s="170" t="n">
        <x:v>5</x:v>
      </x:c>
      <x:c r="AE26" s="170" t="n">
        <x:v>1</x:v>
      </x:c>
      <x:c r="AF26" s="170" t="n">
        <x:v>5</x:v>
      </x:c>
      <x:c r="AG26" s="170" t="n">
        <x:v>4</x:v>
      </x:c>
      <x:c r="AH26" s="176" t="n">
        <x:f>ROUND((D26*'Scoring Guide'!$D$6+E26*'Scoring Guide'!$D$7+F26*'Scoring Guide'!$D$8+G26*'Scoring Guide'!$D$9+H26*'Scoring Guide'!$D$10+I26*'Scoring Guide'!$D$11+(6-J26)*'Scoring Guide'!$D$12+(6-K26)*'Scoring Guide'!$D$13+(6-L26)*'Scoring Guide'!$D$14+(6-M26)*'Scoring Guide'!$D$15+(6-N26)*'Scoring Guide'!$D$16+(6-O26)*'Scoring Guide'!$D$17+(6-P26)*'Scoring Guide'!$D$18+(6-Q26)*'Scoring Guide'!$D$19+(6-R26)*'Scoring Guide'!$D$20+(6-S26)*'Scoring Guide'!$D$21+T26*'Scoring Guide'!$D$22+U26*'Scoring Guide'!$D$23+V26*'Scoring Guide'!$D$24+W26*'Scoring Guide'!$D$25+X26*'Scoring Guide'!$D$26+Y26*'Scoring Guide'!$D$27+Z26*'Scoring Guide'!$D$28+AA26*'Scoring Guide'!$D$29+AB26*'Scoring Guide'!$D$30+AC26*'Scoring Guide'!$D$31+(6-AD26)*'Scoring Guide'!$D$32+AE26*'Scoring Guide'!$D$33+(6-AF26)*'Scoring Guide'!$D$34+AG26*'Scoring Guide'!$D$35)/SUM('Scoring Guide'!$D$6:$D$35),2)</x:f>
        <x:v>2.85</x:v>
      </x:c>
    </x:row>
    <x:row r="27">
      <x:c r="A27" s="160" t="str">
        <x:v>L22</x:v>
      </x:c>
      <x:c r="B27" s="161" t="str">
        <x:v>Perizinan perdagangan dan distribusi</x:v>
      </x:c>
      <x:c r="C27" s="134" t="str">
        <x:v>C</x:v>
      </x:c>
      <x:c r="D27" s="170" t="n">
        <x:v>3</x:v>
      </x:c>
      <x:c r="E27" s="170" t="n">
        <x:v>3</x:v>
      </x:c>
      <x:c r="F27" s="170" t="n">
        <x:v>3</x:v>
      </x:c>
      <x:c r="G27" s="170" t="n">
        <x:v>4</x:v>
      </x:c>
      <x:c r="H27" s="170" t="n">
        <x:v>2</x:v>
      </x:c>
      <x:c r="I27" s="170" t="n">
        <x:v>3</x:v>
      </x:c>
      <x:c r="J27" s="170" t="n">
        <x:v>3</x:v>
      </x:c>
      <x:c r="K27" s="170" t="n">
        <x:v>3</x:v>
      </x:c>
      <x:c r="L27" s="170" t="n">
        <x:v>3</x:v>
      </x:c>
      <x:c r="M27" s="170" t="n">
        <x:v>4</x:v>
      </x:c>
      <x:c r="N27" s="170" t="n">
        <x:v>3</x:v>
      </x:c>
      <x:c r="O27" s="170" t="n">
        <x:v>3</x:v>
      </x:c>
      <x:c r="P27" s="170" t="n">
        <x:v>3</x:v>
      </x:c>
      <x:c r="Q27" s="170" t="n">
        <x:v>3</x:v>
      </x:c>
      <x:c r="R27" s="170" t="n">
        <x:v>1</x:v>
      </x:c>
      <x:c r="S27" s="170" t="n">
        <x:v>3</x:v>
      </x:c>
      <x:c r="T27" s="170" t="n">
        <x:v>4</x:v>
      </x:c>
      <x:c r="U27" s="170" t="n">
        <x:v>4</x:v>
      </x:c>
      <x:c r="V27" s="170" t="n">
        <x:v>3</x:v>
      </x:c>
      <x:c r="W27" s="170" t="n">
        <x:v>4</x:v>
      </x:c>
      <x:c r="X27" s="170" t="n">
        <x:v>3</x:v>
      </x:c>
      <x:c r="Y27" s="170" t="n">
        <x:v>5</x:v>
      </x:c>
      <x:c r="Z27" s="170" t="n">
        <x:v>3</x:v>
      </x:c>
      <x:c r="AA27" s="170" t="n">
        <x:v>3</x:v>
      </x:c>
      <x:c r="AB27" s="170" t="n">
        <x:v>2</x:v>
      </x:c>
      <x:c r="AC27" s="170" t="n">
        <x:v>3</x:v>
      </x:c>
      <x:c r="AD27" s="170" t="n">
        <x:v>3</x:v>
      </x:c>
      <x:c r="AE27" s="170" t="n">
        <x:v>4</x:v>
      </x:c>
      <x:c r="AF27" s="170" t="n">
        <x:v>2</x:v>
      </x:c>
      <x:c r="AG27" s="170" t="n">
        <x:v>3</x:v>
      </x:c>
      <x:c r="AH27" s="176" t="n">
        <x:f>ROUND((D27*'Scoring Guide'!$D$6+E27*'Scoring Guide'!$D$7+F27*'Scoring Guide'!$D$8+G27*'Scoring Guide'!$D$9+H27*'Scoring Guide'!$D$10+I27*'Scoring Guide'!$D$11+(6-J27)*'Scoring Guide'!$D$12+(6-K27)*'Scoring Guide'!$D$13+(6-L27)*'Scoring Guide'!$D$14+(6-M27)*'Scoring Guide'!$D$15+(6-N27)*'Scoring Guide'!$D$16+(6-O27)*'Scoring Guide'!$D$17+(6-P27)*'Scoring Guide'!$D$18+(6-Q27)*'Scoring Guide'!$D$19+(6-R27)*'Scoring Guide'!$D$20+(6-S27)*'Scoring Guide'!$D$21+T27*'Scoring Guide'!$D$22+U27*'Scoring Guide'!$D$23+V27*'Scoring Guide'!$D$24+W27*'Scoring Guide'!$D$25+X27*'Scoring Guide'!$D$26+Y27*'Scoring Guide'!$D$27+Z27*'Scoring Guide'!$D$28+AA27*'Scoring Guide'!$D$29+AB27*'Scoring Guide'!$D$30+AC27*'Scoring Guide'!$D$31+(6-AD27)*'Scoring Guide'!$D$32+AE27*'Scoring Guide'!$D$33+(6-AF27)*'Scoring Guide'!$D$34+AG27*'Scoring Guide'!$D$35)/SUM('Scoring Guide'!$D$6:$D$35),2)</x:f>
        <x:v>3.27</x:v>
      </x:c>
    </x:row>
    <x:row r="28">
      <x:c r="A28" s="160" t="str">
        <x:v>L23</x:v>
      </x:c>
      <x:c r="B28" s="161" t="str">
        <x:v>Perizinan ekspor-impor</x:v>
      </x:c>
      <x:c r="C28" s="132" t="str">
        <x:v>B</x:v>
      </x:c>
      <x:c r="D28" s="170" t="n">
        <x:v>4</x:v>
      </x:c>
      <x:c r="E28" s="170" t="n">
        <x:v>3</x:v>
      </x:c>
      <x:c r="F28" s="170" t="n">
        <x:v>4</x:v>
      </x:c>
      <x:c r="G28" s="170" t="n">
        <x:v>4</x:v>
      </x:c>
      <x:c r="H28" s="170" t="n">
        <x:v>3</x:v>
      </x:c>
      <x:c r="I28" s="170" t="n">
        <x:v>4</x:v>
      </x:c>
      <x:c r="J28" s="170" t="n">
        <x:v>3</x:v>
      </x:c>
      <x:c r="K28" s="170" t="n">
        <x:v>3</x:v>
      </x:c>
      <x:c r="L28" s="170" t="n">
        <x:v>4</x:v>
      </x:c>
      <x:c r="M28" s="170" t="n">
        <x:v>4</x:v>
      </x:c>
      <x:c r="N28" s="170" t="n">
        <x:v>4</x:v>
      </x:c>
      <x:c r="O28" s="170" t="n">
        <x:v>3</x:v>
      </x:c>
      <x:c r="P28" s="170" t="n">
        <x:v>3</x:v>
      </x:c>
      <x:c r="Q28" s="170" t="n">
        <x:v>3</x:v>
      </x:c>
      <x:c r="R28" s="170" t="n">
        <x:v>2</x:v>
      </x:c>
      <x:c r="S28" s="170" t="n">
        <x:v>4</x:v>
      </x:c>
      <x:c r="T28" s="170" t="n">
        <x:v>4</x:v>
      </x:c>
      <x:c r="U28" s="170" t="n">
        <x:v>4</x:v>
      </x:c>
      <x:c r="V28" s="170" t="n">
        <x:v>3</x:v>
      </x:c>
      <x:c r="W28" s="170" t="n">
        <x:v>4</x:v>
      </x:c>
      <x:c r="X28" s="170" t="n">
        <x:v>3</x:v>
      </x:c>
      <x:c r="Y28" s="170" t="n">
        <x:v>4</x:v>
      </x:c>
      <x:c r="Z28" s="170" t="n">
        <x:v>4</x:v>
      </x:c>
      <x:c r="AA28" s="170" t="n">
        <x:v>4</x:v>
      </x:c>
      <x:c r="AB28" s="170" t="n">
        <x:v>3</x:v>
      </x:c>
      <x:c r="AC28" s="170" t="n">
        <x:v>3</x:v>
      </x:c>
      <x:c r="AD28" s="170" t="n">
        <x:v>4</x:v>
      </x:c>
      <x:c r="AE28" s="170" t="n">
        <x:v>4</x:v>
      </x:c>
      <x:c r="AF28" s="170" t="n">
        <x:v>3</x:v>
      </x:c>
      <x:c r="AG28" s="170" t="n">
        <x:v>4</x:v>
      </x:c>
      <x:c r="AH28" s="176" t="n">
        <x:f>ROUND((D28*'Scoring Guide'!$D$6+E28*'Scoring Guide'!$D$7+F28*'Scoring Guide'!$D$8+G28*'Scoring Guide'!$D$9+H28*'Scoring Guide'!$D$10+I28*'Scoring Guide'!$D$11+(6-J28)*'Scoring Guide'!$D$12+(6-K28)*'Scoring Guide'!$D$13+(6-L28)*'Scoring Guide'!$D$14+(6-M28)*'Scoring Guide'!$D$15+(6-N28)*'Scoring Guide'!$D$16+(6-O28)*'Scoring Guide'!$D$17+(6-P28)*'Scoring Guide'!$D$18+(6-Q28)*'Scoring Guide'!$D$19+(6-R28)*'Scoring Guide'!$D$20+(6-S28)*'Scoring Guide'!$D$21+T28*'Scoring Guide'!$D$22+U28*'Scoring Guide'!$D$23+V28*'Scoring Guide'!$D$24+W28*'Scoring Guide'!$D$25+X28*'Scoring Guide'!$D$26+Y28*'Scoring Guide'!$D$27+Z28*'Scoring Guide'!$D$28+AA28*'Scoring Guide'!$D$29+AB28*'Scoring Guide'!$D$30+AC28*'Scoring Guide'!$D$31+(6-AD28)*'Scoring Guide'!$D$32+AE28*'Scoring Guide'!$D$33+(6-AF28)*'Scoring Guide'!$D$34+AG28*'Scoring Guide'!$D$35)/SUM('Scoring Guide'!$D$6:$D$35),2)</x:f>
        <x:v>3.4</x:v>
      </x:c>
    </x:row>
    <x:row r="29">
      <x:c r="A29" s="160" t="str">
        <x:v>L24</x:v>
      </x:c>
      <x:c r="B29" s="161" t="str">
        <x:v>Digital Platform Legal-Ready</x:v>
      </x:c>
      <x:c r="C29" s="132" t="str">
        <x:v>B</x:v>
      </x:c>
      <x:c r="D29" s="170" t="n">
        <x:v>5</x:v>
      </x:c>
      <x:c r="E29" s="170" t="n">
        <x:v>4</x:v>
      </x:c>
      <x:c r="F29" s="170" t="n">
        <x:v>3</x:v>
      </x:c>
      <x:c r="G29" s="170" t="n">
        <x:v>5</x:v>
      </x:c>
      <x:c r="H29" s="170" t="n">
        <x:v>5</x:v>
      </x:c>
      <x:c r="I29" s="170" t="n">
        <x:v>4</x:v>
      </x:c>
      <x:c r="J29" s="170" t="n">
        <x:v>5</x:v>
      </x:c>
      <x:c r="K29" s="170" t="n">
        <x:v>5</x:v>
      </x:c>
      <x:c r="L29" s="170" t="n">
        <x:v>5</x:v>
      </x:c>
      <x:c r="M29" s="170" t="n">
        <x:v>5</x:v>
      </x:c>
      <x:c r="N29" s="170" t="n">
        <x:v>5</x:v>
      </x:c>
      <x:c r="O29" s="170" t="n">
        <x:v>4</x:v>
      </x:c>
      <x:c r="P29" s="170" t="n">
        <x:v>5</x:v>
      </x:c>
      <x:c r="Q29" s="170" t="n">
        <x:v>5</x:v>
      </x:c>
      <x:c r="R29" s="170" t="n">
        <x:v>3</x:v>
      </x:c>
      <x:c r="S29" s="170" t="n">
        <x:v>5</x:v>
      </x:c>
      <x:c r="T29" s="170" t="n">
        <x:v>2</x:v>
      </x:c>
      <x:c r="U29" s="170" t="n">
        <x:v>2</x:v>
      </x:c>
      <x:c r="V29" s="170" t="n">
        <x:v>1</x:v>
      </x:c>
      <x:c r="W29" s="170" t="n">
        <x:v>4</x:v>
      </x:c>
      <x:c r="X29" s="170" t="n">
        <x:v>4</x:v>
      </x:c>
      <x:c r="Y29" s="170" t="n">
        <x:v>4</x:v>
      </x:c>
      <x:c r="Z29" s="170" t="n">
        <x:v>4</x:v>
      </x:c>
      <x:c r="AA29" s="170" t="n">
        <x:v>5</x:v>
      </x:c>
      <x:c r="AB29" s="170" t="n">
        <x:v>5</x:v>
      </x:c>
      <x:c r="AC29" s="170" t="n">
        <x:v>3</x:v>
      </x:c>
      <x:c r="AD29" s="170" t="n">
        <x:v>5</x:v>
      </x:c>
      <x:c r="AE29" s="170" t="n">
        <x:v>1</x:v>
      </x:c>
      <x:c r="AF29" s="170" t="n">
        <x:v>5</x:v>
      </x:c>
      <x:c r="AG29" s="170" t="n">
        <x:v>4</x:v>
      </x:c>
      <x:c r="AH29" s="176" t="n">
        <x:f>ROUND((D29*'Scoring Guide'!$D$6+E29*'Scoring Guide'!$D$7+F29*'Scoring Guide'!$D$8+G29*'Scoring Guide'!$D$9+H29*'Scoring Guide'!$D$10+I29*'Scoring Guide'!$D$11+(6-J29)*'Scoring Guide'!$D$12+(6-K29)*'Scoring Guide'!$D$13+(6-L29)*'Scoring Guide'!$D$14+(6-M29)*'Scoring Guide'!$D$15+(6-N29)*'Scoring Guide'!$D$16+(6-O29)*'Scoring Guide'!$D$17+(6-P29)*'Scoring Guide'!$D$18+(6-Q29)*'Scoring Guide'!$D$19+(6-R29)*'Scoring Guide'!$D$20+(6-S29)*'Scoring Guide'!$D$21+T29*'Scoring Guide'!$D$22+U29*'Scoring Guide'!$D$23+V29*'Scoring Guide'!$D$24+W29*'Scoring Guide'!$D$25+X29*'Scoring Guide'!$D$26+Y29*'Scoring Guide'!$D$27+Z29*'Scoring Guide'!$D$28+AA29*'Scoring Guide'!$D$29+AB29*'Scoring Guide'!$D$30+AC29*'Scoring Guide'!$D$31+(6-AD29)*'Scoring Guide'!$D$32+AE29*'Scoring Guide'!$D$33+(6-AF29)*'Scoring Guide'!$D$34+AG29*'Scoring Guide'!$D$35)/SUM('Scoring Guide'!$D$6:$D$35),2)</x:f>
        <x:v>2.85</x:v>
      </x:c>
    </x:row>
    <x:row r="30">
      <x:c r="A30" s="160" t="str">
        <x:v>L25</x:v>
      </x:c>
      <x:c r="B30" s="161" t="str">
        <x:v>F&amp;B Market-Ready package</x:v>
      </x:c>
      <x:c r="C30" s="132" t="str">
        <x:v>B</x:v>
      </x:c>
      <x:c r="D30" s="170" t="n">
        <x:v>4</x:v>
      </x:c>
      <x:c r="E30" s="170" t="n">
        <x:v>3</x:v>
      </x:c>
      <x:c r="F30" s="170" t="n">
        <x:v>4</x:v>
      </x:c>
      <x:c r="G30" s="170" t="n">
        <x:v>4</x:v>
      </x:c>
      <x:c r="H30" s="170" t="n">
        <x:v>3</x:v>
      </x:c>
      <x:c r="I30" s="170" t="n">
        <x:v>4</x:v>
      </x:c>
      <x:c r="J30" s="170" t="n">
        <x:v>3</x:v>
      </x:c>
      <x:c r="K30" s="170" t="n">
        <x:v>3</x:v>
      </x:c>
      <x:c r="L30" s="170" t="n">
        <x:v>4</x:v>
      </x:c>
      <x:c r="M30" s="170" t="n">
        <x:v>4</x:v>
      </x:c>
      <x:c r="N30" s="170" t="n">
        <x:v>4</x:v>
      </x:c>
      <x:c r="O30" s="170" t="n">
        <x:v>3</x:v>
      </x:c>
      <x:c r="P30" s="170" t="n">
        <x:v>3</x:v>
      </x:c>
      <x:c r="Q30" s="170" t="n">
        <x:v>3</x:v>
      </x:c>
      <x:c r="R30" s="170" t="n">
        <x:v>2</x:v>
      </x:c>
      <x:c r="S30" s="170" t="n">
        <x:v>4</x:v>
      </x:c>
      <x:c r="T30" s="170" t="n">
        <x:v>4</x:v>
      </x:c>
      <x:c r="U30" s="170" t="n">
        <x:v>4</x:v>
      </x:c>
      <x:c r="V30" s="170" t="n">
        <x:v>3</x:v>
      </x:c>
      <x:c r="W30" s="170" t="n">
        <x:v>4</x:v>
      </x:c>
      <x:c r="X30" s="170" t="n">
        <x:v>3</x:v>
      </x:c>
      <x:c r="Y30" s="170" t="n">
        <x:v>4</x:v>
      </x:c>
      <x:c r="Z30" s="170" t="n">
        <x:v>4</x:v>
      </x:c>
      <x:c r="AA30" s="170" t="n">
        <x:v>4</x:v>
      </x:c>
      <x:c r="AB30" s="170" t="n">
        <x:v>3</x:v>
      </x:c>
      <x:c r="AC30" s="170" t="n">
        <x:v>3</x:v>
      </x:c>
      <x:c r="AD30" s="170" t="n">
        <x:v>4</x:v>
      </x:c>
      <x:c r="AE30" s="170" t="n">
        <x:v>4</x:v>
      </x:c>
      <x:c r="AF30" s="170" t="n">
        <x:v>3</x:v>
      </x:c>
      <x:c r="AG30" s="170" t="n">
        <x:v>4</x:v>
      </x:c>
      <x:c r="AH30" s="176" t="n">
        <x:f>ROUND((D30*'Scoring Guide'!$D$6+E30*'Scoring Guide'!$D$7+F30*'Scoring Guide'!$D$8+G30*'Scoring Guide'!$D$9+H30*'Scoring Guide'!$D$10+I30*'Scoring Guide'!$D$11+(6-J30)*'Scoring Guide'!$D$12+(6-K30)*'Scoring Guide'!$D$13+(6-L30)*'Scoring Guide'!$D$14+(6-M30)*'Scoring Guide'!$D$15+(6-N30)*'Scoring Guide'!$D$16+(6-O30)*'Scoring Guide'!$D$17+(6-P30)*'Scoring Guide'!$D$18+(6-Q30)*'Scoring Guide'!$D$19+(6-R30)*'Scoring Guide'!$D$20+(6-S30)*'Scoring Guide'!$D$21+T30*'Scoring Guide'!$D$22+U30*'Scoring Guide'!$D$23+V30*'Scoring Guide'!$D$24+W30*'Scoring Guide'!$D$25+X30*'Scoring Guide'!$D$26+Y30*'Scoring Guide'!$D$27+Z30*'Scoring Guide'!$D$28+AA30*'Scoring Guide'!$D$29+AB30*'Scoring Guide'!$D$30+AC30*'Scoring Guide'!$D$31+(6-AD30)*'Scoring Guide'!$D$32+AE30*'Scoring Guide'!$D$33+(6-AF30)*'Scoring Guide'!$D$34+AG30*'Scoring Guide'!$D$35)/SUM('Scoring Guide'!$D$6:$D$35),2)</x:f>
        <x:v>3.4</x:v>
      </x:c>
    </x:row>
    <x:row r="31">
      <x:c r="A31" s="160" t="str">
        <x:v>L26</x:v>
      </x:c>
      <x:c r="B31" s="161" t="str">
        <x:v>SPP-IRT standalone</x:v>
      </x:c>
      <x:c r="C31" s="134" t="str">
        <x:v>C</x:v>
      </x:c>
      <x:c r="D31" s="170" t="n">
        <x:v>2</x:v>
      </x:c>
      <x:c r="E31" s="170" t="n">
        <x:v>2</x:v>
      </x:c>
      <x:c r="F31" s="170" t="n">
        <x:v>5</x:v>
      </x:c>
      <x:c r="G31" s="170" t="n">
        <x:v>3</x:v>
      </x:c>
      <x:c r="H31" s="170" t="n">
        <x:v>1</x:v>
      </x:c>
      <x:c r="I31" s="170" t="n">
        <x:v>3</x:v>
      </x:c>
      <x:c r="J31" s="170" t="n">
        <x:v>2</x:v>
      </x:c>
      <x:c r="K31" s="170" t="n">
        <x:v>2</x:v>
      </x:c>
      <x:c r="L31" s="170" t="n">
        <x:v>3</x:v>
      </x:c>
      <x:c r="M31" s="170" t="n">
        <x:v>4</x:v>
      </x:c>
      <x:c r="N31" s="170" t="n">
        <x:v>3</x:v>
      </x:c>
      <x:c r="O31" s="170" t="n">
        <x:v>3</x:v>
      </x:c>
      <x:c r="P31" s="170" t="n">
        <x:v>2</x:v>
      </x:c>
      <x:c r="Q31" s="170" t="n">
        <x:v>2</x:v>
      </x:c>
      <x:c r="R31" s="170" t="n">
        <x:v>1</x:v>
      </x:c>
      <x:c r="S31" s="170" t="n">
        <x:v>4</x:v>
      </x:c>
      <x:c r="T31" s="170" t="n">
        <x:v>5</x:v>
      </x:c>
      <x:c r="U31" s="170" t="n">
        <x:v>5</x:v>
      </x:c>
      <x:c r="V31" s="170" t="n">
        <x:v>4</x:v>
      </x:c>
      <x:c r="W31" s="170" t="n">
        <x:v>4</x:v>
      </x:c>
      <x:c r="X31" s="170" t="n">
        <x:v>2</x:v>
      </x:c>
      <x:c r="Y31" s="170" t="n">
        <x:v>4</x:v>
      </x:c>
      <x:c r="Z31" s="170" t="n">
        <x:v>5</x:v>
      </x:c>
      <x:c r="AA31" s="170" t="n">
        <x:v>4</x:v>
      </x:c>
      <x:c r="AB31" s="170" t="n">
        <x:v>3</x:v>
      </x:c>
      <x:c r="AC31" s="170" t="n">
        <x:v>4</x:v>
      </x:c>
      <x:c r="AD31" s="170" t="n">
        <x:v>5</x:v>
      </x:c>
      <x:c r="AE31" s="170" t="n">
        <x:v>5</x:v>
      </x:c>
      <x:c r="AF31" s="170" t="n">
        <x:v>1</x:v>
      </x:c>
      <x:c r="AG31" s="170" t="n">
        <x:v>3</x:v>
      </x:c>
      <x:c r="AH31" s="176" t="n">
        <x:f>ROUND((D31*'Scoring Guide'!$D$6+E31*'Scoring Guide'!$D$7+F31*'Scoring Guide'!$D$8+G31*'Scoring Guide'!$D$9+H31*'Scoring Guide'!$D$10+I31*'Scoring Guide'!$D$11+(6-J31)*'Scoring Guide'!$D$12+(6-K31)*'Scoring Guide'!$D$13+(6-L31)*'Scoring Guide'!$D$14+(6-M31)*'Scoring Guide'!$D$15+(6-N31)*'Scoring Guide'!$D$16+(6-O31)*'Scoring Guide'!$D$17+(6-P31)*'Scoring Guide'!$D$18+(6-Q31)*'Scoring Guide'!$D$19+(6-R31)*'Scoring Guide'!$D$20+(6-S31)*'Scoring Guide'!$D$21+T31*'Scoring Guide'!$D$22+U31*'Scoring Guide'!$D$23+V31*'Scoring Guide'!$D$24+W31*'Scoring Guide'!$D$25+X31*'Scoring Guide'!$D$26+Y31*'Scoring Guide'!$D$27+Z31*'Scoring Guide'!$D$28+AA31*'Scoring Guide'!$D$29+AB31*'Scoring Guide'!$D$30+AC31*'Scoring Guide'!$D$31+(6-AD31)*'Scoring Guide'!$D$32+AE31*'Scoring Guide'!$D$33+(6-AF31)*'Scoring Guide'!$D$34+AG31*'Scoring Guide'!$D$35)/SUM('Scoring Guide'!$D$6:$D$35),2)</x:f>
        <x:v>3.44</x:v>
      </x:c>
    </x:row>
    <x:row r="32">
      <x:c r="A32" s="160" t="str">
        <x:v>L27</x:v>
      </x:c>
      <x:c r="B32" s="161" t="str">
        <x:v>BPOM advanced</x:v>
      </x:c>
      <x:c r="C32" s="132" t="str">
        <x:v>B</x:v>
      </x:c>
      <x:c r="D32" s="170" t="n">
        <x:v>5</x:v>
      </x:c>
      <x:c r="E32" s="170" t="n">
        <x:v>4</x:v>
      </x:c>
      <x:c r="F32" s="170" t="n">
        <x:v>3</x:v>
      </x:c>
      <x:c r="G32" s="170" t="n">
        <x:v>5</x:v>
      </x:c>
      <x:c r="H32" s="170" t="n">
        <x:v>5</x:v>
      </x:c>
      <x:c r="I32" s="170" t="n">
        <x:v>4</x:v>
      </x:c>
      <x:c r="J32" s="170" t="n">
        <x:v>5</x:v>
      </x:c>
      <x:c r="K32" s="170" t="n">
        <x:v>5</x:v>
      </x:c>
      <x:c r="L32" s="170" t="n">
        <x:v>5</x:v>
      </x:c>
      <x:c r="M32" s="170" t="n">
        <x:v>5</x:v>
      </x:c>
      <x:c r="N32" s="170" t="n">
        <x:v>5</x:v>
      </x:c>
      <x:c r="O32" s="170" t="n">
        <x:v>4</x:v>
      </x:c>
      <x:c r="P32" s="170" t="n">
        <x:v>5</x:v>
      </x:c>
      <x:c r="Q32" s="170" t="n">
        <x:v>5</x:v>
      </x:c>
      <x:c r="R32" s="170" t="n">
        <x:v>3</x:v>
      </x:c>
      <x:c r="S32" s="170" t="n">
        <x:v>5</x:v>
      </x:c>
      <x:c r="T32" s="170" t="n">
        <x:v>2</x:v>
      </x:c>
      <x:c r="U32" s="170" t="n">
        <x:v>2</x:v>
      </x:c>
      <x:c r="V32" s="170" t="n">
        <x:v>1</x:v>
      </x:c>
      <x:c r="W32" s="170" t="n">
        <x:v>4</x:v>
      </x:c>
      <x:c r="X32" s="170" t="n">
        <x:v>4</x:v>
      </x:c>
      <x:c r="Y32" s="170" t="n">
        <x:v>4</x:v>
      </x:c>
      <x:c r="Z32" s="170" t="n">
        <x:v>4</x:v>
      </x:c>
      <x:c r="AA32" s="170" t="n">
        <x:v>5</x:v>
      </x:c>
      <x:c r="AB32" s="170" t="n">
        <x:v>5</x:v>
      </x:c>
      <x:c r="AC32" s="170" t="n">
        <x:v>3</x:v>
      </x:c>
      <x:c r="AD32" s="170" t="n">
        <x:v>5</x:v>
      </x:c>
      <x:c r="AE32" s="170" t="n">
        <x:v>1</x:v>
      </x:c>
      <x:c r="AF32" s="170" t="n">
        <x:v>5</x:v>
      </x:c>
      <x:c r="AG32" s="170" t="n">
        <x:v>4</x:v>
      </x:c>
      <x:c r="AH32" s="176" t="n">
        <x:f>ROUND((D32*'Scoring Guide'!$D$6+E32*'Scoring Guide'!$D$7+F32*'Scoring Guide'!$D$8+G32*'Scoring Guide'!$D$9+H32*'Scoring Guide'!$D$10+I32*'Scoring Guide'!$D$11+(6-J32)*'Scoring Guide'!$D$12+(6-K32)*'Scoring Guide'!$D$13+(6-L32)*'Scoring Guide'!$D$14+(6-M32)*'Scoring Guide'!$D$15+(6-N32)*'Scoring Guide'!$D$16+(6-O32)*'Scoring Guide'!$D$17+(6-P32)*'Scoring Guide'!$D$18+(6-Q32)*'Scoring Guide'!$D$19+(6-R32)*'Scoring Guide'!$D$20+(6-S32)*'Scoring Guide'!$D$21+T32*'Scoring Guide'!$D$22+U32*'Scoring Guide'!$D$23+V32*'Scoring Guide'!$D$24+W32*'Scoring Guide'!$D$25+X32*'Scoring Guide'!$D$26+Y32*'Scoring Guide'!$D$27+Z32*'Scoring Guide'!$D$28+AA32*'Scoring Guide'!$D$29+AB32*'Scoring Guide'!$D$30+AC32*'Scoring Guide'!$D$31+(6-AD32)*'Scoring Guide'!$D$32+AE32*'Scoring Guide'!$D$33+(6-AF32)*'Scoring Guide'!$D$34+AG32*'Scoring Guide'!$D$35)/SUM('Scoring Guide'!$D$6:$D$35),2)</x:f>
        <x:v>2.85</x:v>
      </x:c>
    </x:row>
    <x:row r="33">
      <x:c r="A33" s="160" t="str">
        <x:v>L28</x:v>
      </x:c>
      <x:c r="B33" s="161" t="str">
        <x:v>Sertifikasi halal standalone</x:v>
      </x:c>
      <x:c r="C33" s="134" t="str">
        <x:v>C</x:v>
      </x:c>
      <x:c r="D33" s="170" t="n">
        <x:v>2</x:v>
      </x:c>
      <x:c r="E33" s="170" t="n">
        <x:v>2</x:v>
      </x:c>
      <x:c r="F33" s="170" t="n">
        <x:v>5</x:v>
      </x:c>
      <x:c r="G33" s="170" t="n">
        <x:v>3</x:v>
      </x:c>
      <x:c r="H33" s="170" t="n">
        <x:v>1</x:v>
      </x:c>
      <x:c r="I33" s="170" t="n">
        <x:v>3</x:v>
      </x:c>
      <x:c r="J33" s="170" t="n">
        <x:v>2</x:v>
      </x:c>
      <x:c r="K33" s="170" t="n">
        <x:v>2</x:v>
      </x:c>
      <x:c r="L33" s="170" t="n">
        <x:v>3</x:v>
      </x:c>
      <x:c r="M33" s="170" t="n">
        <x:v>4</x:v>
      </x:c>
      <x:c r="N33" s="170" t="n">
        <x:v>3</x:v>
      </x:c>
      <x:c r="O33" s="170" t="n">
        <x:v>3</x:v>
      </x:c>
      <x:c r="P33" s="170" t="n">
        <x:v>2</x:v>
      </x:c>
      <x:c r="Q33" s="170" t="n">
        <x:v>2</x:v>
      </x:c>
      <x:c r="R33" s="170" t="n">
        <x:v>1</x:v>
      </x:c>
      <x:c r="S33" s="170" t="n">
        <x:v>4</x:v>
      </x:c>
      <x:c r="T33" s="170" t="n">
        <x:v>5</x:v>
      </x:c>
      <x:c r="U33" s="170" t="n">
        <x:v>5</x:v>
      </x:c>
      <x:c r="V33" s="170" t="n">
        <x:v>4</x:v>
      </x:c>
      <x:c r="W33" s="170" t="n">
        <x:v>4</x:v>
      </x:c>
      <x:c r="X33" s="170" t="n">
        <x:v>2</x:v>
      </x:c>
      <x:c r="Y33" s="170" t="n">
        <x:v>4</x:v>
      </x:c>
      <x:c r="Z33" s="170" t="n">
        <x:v>5</x:v>
      </x:c>
      <x:c r="AA33" s="170" t="n">
        <x:v>4</x:v>
      </x:c>
      <x:c r="AB33" s="170" t="n">
        <x:v>3</x:v>
      </x:c>
      <x:c r="AC33" s="170" t="n">
        <x:v>4</x:v>
      </x:c>
      <x:c r="AD33" s="170" t="n">
        <x:v>5</x:v>
      </x:c>
      <x:c r="AE33" s="170" t="n">
        <x:v>5</x:v>
      </x:c>
      <x:c r="AF33" s="170" t="n">
        <x:v>1</x:v>
      </x:c>
      <x:c r="AG33" s="170" t="n">
        <x:v>3</x:v>
      </x:c>
      <x:c r="AH33" s="176" t="n">
        <x:f>ROUND((D33*'Scoring Guide'!$D$6+E33*'Scoring Guide'!$D$7+F33*'Scoring Guide'!$D$8+G33*'Scoring Guide'!$D$9+H33*'Scoring Guide'!$D$10+I33*'Scoring Guide'!$D$11+(6-J33)*'Scoring Guide'!$D$12+(6-K33)*'Scoring Guide'!$D$13+(6-L33)*'Scoring Guide'!$D$14+(6-M33)*'Scoring Guide'!$D$15+(6-N33)*'Scoring Guide'!$D$16+(6-O33)*'Scoring Guide'!$D$17+(6-P33)*'Scoring Guide'!$D$18+(6-Q33)*'Scoring Guide'!$D$19+(6-R33)*'Scoring Guide'!$D$20+(6-S33)*'Scoring Guide'!$D$21+T33*'Scoring Guide'!$D$22+U33*'Scoring Guide'!$D$23+V33*'Scoring Guide'!$D$24+W33*'Scoring Guide'!$D$25+X33*'Scoring Guide'!$D$26+Y33*'Scoring Guide'!$D$27+Z33*'Scoring Guide'!$D$28+AA33*'Scoring Guide'!$D$29+AB33*'Scoring Guide'!$D$30+AC33*'Scoring Guide'!$D$31+(6-AD33)*'Scoring Guide'!$D$32+AE33*'Scoring Guide'!$D$33+(6-AF33)*'Scoring Guide'!$D$34+AG33*'Scoring Guide'!$D$35)/SUM('Scoring Guide'!$D$6:$D$35),2)</x:f>
        <x:v>3.44</x:v>
      </x:c>
    </x:row>
    <x:row r="34">
      <x:c r="A34" s="160" t="str">
        <x:v>L29</x:v>
      </x:c>
      <x:c r="B34" s="161" t="str">
        <x:v>SNI dan sertifikasi produk</x:v>
      </x:c>
      <x:c r="C34" s="134" t="str">
        <x:v>C</x:v>
      </x:c>
      <x:c r="D34" s="170" t="n">
        <x:v>5</x:v>
      </x:c>
      <x:c r="E34" s="170" t="n">
        <x:v>4</x:v>
      </x:c>
      <x:c r="F34" s="170" t="n">
        <x:v>3</x:v>
      </x:c>
      <x:c r="G34" s="170" t="n">
        <x:v>5</x:v>
      </x:c>
      <x:c r="H34" s="170" t="n">
        <x:v>5</x:v>
      </x:c>
      <x:c r="I34" s="170" t="n">
        <x:v>4</x:v>
      </x:c>
      <x:c r="J34" s="170" t="n">
        <x:v>5</x:v>
      </x:c>
      <x:c r="K34" s="170" t="n">
        <x:v>5</x:v>
      </x:c>
      <x:c r="L34" s="170" t="n">
        <x:v>5</x:v>
      </x:c>
      <x:c r="M34" s="170" t="n">
        <x:v>5</x:v>
      </x:c>
      <x:c r="N34" s="170" t="n">
        <x:v>5</x:v>
      </x:c>
      <x:c r="O34" s="170" t="n">
        <x:v>4</x:v>
      </x:c>
      <x:c r="P34" s="170" t="n">
        <x:v>5</x:v>
      </x:c>
      <x:c r="Q34" s="170" t="n">
        <x:v>5</x:v>
      </x:c>
      <x:c r="R34" s="170" t="n">
        <x:v>3</x:v>
      </x:c>
      <x:c r="S34" s="170" t="n">
        <x:v>5</x:v>
      </x:c>
      <x:c r="T34" s="170" t="n">
        <x:v>2</x:v>
      </x:c>
      <x:c r="U34" s="170" t="n">
        <x:v>2</x:v>
      </x:c>
      <x:c r="V34" s="170" t="n">
        <x:v>1</x:v>
      </x:c>
      <x:c r="W34" s="170" t="n">
        <x:v>4</x:v>
      </x:c>
      <x:c r="X34" s="170" t="n">
        <x:v>4</x:v>
      </x:c>
      <x:c r="Y34" s="170" t="n">
        <x:v>4</x:v>
      </x:c>
      <x:c r="Z34" s="170" t="n">
        <x:v>4</x:v>
      </x:c>
      <x:c r="AA34" s="170" t="n">
        <x:v>5</x:v>
      </x:c>
      <x:c r="AB34" s="170" t="n">
        <x:v>5</x:v>
      </x:c>
      <x:c r="AC34" s="170" t="n">
        <x:v>3</x:v>
      </x:c>
      <x:c r="AD34" s="170" t="n">
        <x:v>5</x:v>
      </x:c>
      <x:c r="AE34" s="170" t="n">
        <x:v>1</x:v>
      </x:c>
      <x:c r="AF34" s="170" t="n">
        <x:v>5</x:v>
      </x:c>
      <x:c r="AG34" s="170" t="n">
        <x:v>4</x:v>
      </x:c>
      <x:c r="AH34" s="176" t="n">
        <x:f>ROUND((D34*'Scoring Guide'!$D$6+E34*'Scoring Guide'!$D$7+F34*'Scoring Guide'!$D$8+G34*'Scoring Guide'!$D$9+H34*'Scoring Guide'!$D$10+I34*'Scoring Guide'!$D$11+(6-J34)*'Scoring Guide'!$D$12+(6-K34)*'Scoring Guide'!$D$13+(6-L34)*'Scoring Guide'!$D$14+(6-M34)*'Scoring Guide'!$D$15+(6-N34)*'Scoring Guide'!$D$16+(6-O34)*'Scoring Guide'!$D$17+(6-P34)*'Scoring Guide'!$D$18+(6-Q34)*'Scoring Guide'!$D$19+(6-R34)*'Scoring Guide'!$D$20+(6-S34)*'Scoring Guide'!$D$21+T34*'Scoring Guide'!$D$22+U34*'Scoring Guide'!$D$23+V34*'Scoring Guide'!$D$24+W34*'Scoring Guide'!$D$25+X34*'Scoring Guide'!$D$26+Y34*'Scoring Guide'!$D$27+Z34*'Scoring Guide'!$D$28+AA34*'Scoring Guide'!$D$29+AB34*'Scoring Guide'!$D$30+AC34*'Scoring Guide'!$D$31+(6-AD34)*'Scoring Guide'!$D$32+AE34*'Scoring Guide'!$D$33+(6-AF34)*'Scoring Guide'!$D$34+AG34*'Scoring Guide'!$D$35)/SUM('Scoring Guide'!$D$6:$D$35),2)</x:f>
        <x:v>2.85</x:v>
      </x:c>
    </x:row>
    <x:row r="35">
      <x:c r="A35" s="160" t="str">
        <x:v>L30</x:v>
      </x:c>
      <x:c r="B35" s="161" t="str">
        <x:v>Healthcare Market Access</x:v>
      </x:c>
      <x:c r="C35" s="134" t="str">
        <x:v>C</x:v>
      </x:c>
      <x:c r="D35" s="170" t="n">
        <x:v>5</x:v>
      </x:c>
      <x:c r="E35" s="170" t="n">
        <x:v>4</x:v>
      </x:c>
      <x:c r="F35" s="170" t="n">
        <x:v>3</x:v>
      </x:c>
      <x:c r="G35" s="170" t="n">
        <x:v>5</x:v>
      </x:c>
      <x:c r="H35" s="170" t="n">
        <x:v>5</x:v>
      </x:c>
      <x:c r="I35" s="170" t="n">
        <x:v>4</x:v>
      </x:c>
      <x:c r="J35" s="170" t="n">
        <x:v>5</x:v>
      </x:c>
      <x:c r="K35" s="170" t="n">
        <x:v>5</x:v>
      </x:c>
      <x:c r="L35" s="170" t="n">
        <x:v>5</x:v>
      </x:c>
      <x:c r="M35" s="170" t="n">
        <x:v>5</x:v>
      </x:c>
      <x:c r="N35" s="170" t="n">
        <x:v>5</x:v>
      </x:c>
      <x:c r="O35" s="170" t="n">
        <x:v>4</x:v>
      </x:c>
      <x:c r="P35" s="170" t="n">
        <x:v>5</x:v>
      </x:c>
      <x:c r="Q35" s="170" t="n">
        <x:v>5</x:v>
      </x:c>
      <x:c r="R35" s="170" t="n">
        <x:v>3</x:v>
      </x:c>
      <x:c r="S35" s="170" t="n">
        <x:v>5</x:v>
      </x:c>
      <x:c r="T35" s="170" t="n">
        <x:v>2</x:v>
      </x:c>
      <x:c r="U35" s="170" t="n">
        <x:v>2</x:v>
      </x:c>
      <x:c r="V35" s="170" t="n">
        <x:v>1</x:v>
      </x:c>
      <x:c r="W35" s="170" t="n">
        <x:v>4</x:v>
      </x:c>
      <x:c r="X35" s="170" t="n">
        <x:v>4</x:v>
      </x:c>
      <x:c r="Y35" s="170" t="n">
        <x:v>4</x:v>
      </x:c>
      <x:c r="Z35" s="170" t="n">
        <x:v>4</x:v>
      </x:c>
      <x:c r="AA35" s="170" t="n">
        <x:v>5</x:v>
      </x:c>
      <x:c r="AB35" s="170" t="n">
        <x:v>5</x:v>
      </x:c>
      <x:c r="AC35" s="170" t="n">
        <x:v>3</x:v>
      </x:c>
      <x:c r="AD35" s="170" t="n">
        <x:v>5</x:v>
      </x:c>
      <x:c r="AE35" s="170" t="n">
        <x:v>1</x:v>
      </x:c>
      <x:c r="AF35" s="170" t="n">
        <x:v>5</x:v>
      </x:c>
      <x:c r="AG35" s="170" t="n">
        <x:v>4</x:v>
      </x:c>
      <x:c r="AH35" s="176" t="n">
        <x:f>ROUND((D35*'Scoring Guide'!$D$6+E35*'Scoring Guide'!$D$7+F35*'Scoring Guide'!$D$8+G35*'Scoring Guide'!$D$9+H35*'Scoring Guide'!$D$10+I35*'Scoring Guide'!$D$11+(6-J35)*'Scoring Guide'!$D$12+(6-K35)*'Scoring Guide'!$D$13+(6-L35)*'Scoring Guide'!$D$14+(6-M35)*'Scoring Guide'!$D$15+(6-N35)*'Scoring Guide'!$D$16+(6-O35)*'Scoring Guide'!$D$17+(6-P35)*'Scoring Guide'!$D$18+(6-Q35)*'Scoring Guide'!$D$19+(6-R35)*'Scoring Guide'!$D$20+(6-S35)*'Scoring Guide'!$D$21+T35*'Scoring Guide'!$D$22+U35*'Scoring Guide'!$D$23+V35*'Scoring Guide'!$D$24+W35*'Scoring Guide'!$D$25+X35*'Scoring Guide'!$D$26+Y35*'Scoring Guide'!$D$27+Z35*'Scoring Guide'!$D$28+AA35*'Scoring Guide'!$D$29+AB35*'Scoring Guide'!$D$30+AC35*'Scoring Guide'!$D$31+(6-AD35)*'Scoring Guide'!$D$32+AE35*'Scoring Guide'!$D$33+(6-AF35)*'Scoring Guide'!$D$34+AG35*'Scoring Guide'!$D$35)/SUM('Scoring Guide'!$D$6:$D$35),2)</x:f>
        <x:v>2.85</x:v>
      </x:c>
    </x:row>
    <x:row r="36">
      <x:c r="A36" s="160" t="str">
        <x:v>L31</x:v>
      </x:c>
      <x:c r="B36" s="161" t="str">
        <x:v>OJK/BI regulated licensing</x:v>
      </x:c>
      <x:c r="C36" s="134" t="str">
        <x:v>C</x:v>
      </x:c>
      <x:c r="D36" s="170" t="n">
        <x:v>5</x:v>
      </x:c>
      <x:c r="E36" s="170" t="n">
        <x:v>4</x:v>
      </x:c>
      <x:c r="F36" s="170" t="n">
        <x:v>3</x:v>
      </x:c>
      <x:c r="G36" s="170" t="n">
        <x:v>5</x:v>
      </x:c>
      <x:c r="H36" s="170" t="n">
        <x:v>5</x:v>
      </x:c>
      <x:c r="I36" s="170" t="n">
        <x:v>4</x:v>
      </x:c>
      <x:c r="J36" s="170" t="n">
        <x:v>5</x:v>
      </x:c>
      <x:c r="K36" s="170" t="n">
        <x:v>5</x:v>
      </x:c>
      <x:c r="L36" s="170" t="n">
        <x:v>5</x:v>
      </x:c>
      <x:c r="M36" s="170" t="n">
        <x:v>5</x:v>
      </x:c>
      <x:c r="N36" s="170" t="n">
        <x:v>5</x:v>
      </x:c>
      <x:c r="O36" s="170" t="n">
        <x:v>4</x:v>
      </x:c>
      <x:c r="P36" s="170" t="n">
        <x:v>5</x:v>
      </x:c>
      <x:c r="Q36" s="170" t="n">
        <x:v>5</x:v>
      </x:c>
      <x:c r="R36" s="170" t="n">
        <x:v>3</x:v>
      </x:c>
      <x:c r="S36" s="170" t="n">
        <x:v>5</x:v>
      </x:c>
      <x:c r="T36" s="170" t="n">
        <x:v>2</x:v>
      </x:c>
      <x:c r="U36" s="170" t="n">
        <x:v>2</x:v>
      </x:c>
      <x:c r="V36" s="170" t="n">
        <x:v>1</x:v>
      </x:c>
      <x:c r="W36" s="170" t="n">
        <x:v>4</x:v>
      </x:c>
      <x:c r="X36" s="170" t="n">
        <x:v>4</x:v>
      </x:c>
      <x:c r="Y36" s="170" t="n">
        <x:v>4</x:v>
      </x:c>
      <x:c r="Z36" s="170" t="n">
        <x:v>4</x:v>
      </x:c>
      <x:c r="AA36" s="170" t="n">
        <x:v>5</x:v>
      </x:c>
      <x:c r="AB36" s="170" t="n">
        <x:v>5</x:v>
      </x:c>
      <x:c r="AC36" s="170" t="n">
        <x:v>3</x:v>
      </x:c>
      <x:c r="AD36" s="170" t="n">
        <x:v>5</x:v>
      </x:c>
      <x:c r="AE36" s="170" t="n">
        <x:v>1</x:v>
      </x:c>
      <x:c r="AF36" s="170" t="n">
        <x:v>5</x:v>
      </x:c>
      <x:c r="AG36" s="170" t="n">
        <x:v>4</x:v>
      </x:c>
      <x:c r="AH36" s="176" t="n">
        <x:f>ROUND((D36*'Scoring Guide'!$D$6+E36*'Scoring Guide'!$D$7+F36*'Scoring Guide'!$D$8+G36*'Scoring Guide'!$D$9+H36*'Scoring Guide'!$D$10+I36*'Scoring Guide'!$D$11+(6-J36)*'Scoring Guide'!$D$12+(6-K36)*'Scoring Guide'!$D$13+(6-L36)*'Scoring Guide'!$D$14+(6-M36)*'Scoring Guide'!$D$15+(6-N36)*'Scoring Guide'!$D$16+(6-O36)*'Scoring Guide'!$D$17+(6-P36)*'Scoring Guide'!$D$18+(6-Q36)*'Scoring Guide'!$D$19+(6-R36)*'Scoring Guide'!$D$20+(6-S36)*'Scoring Guide'!$D$21+T36*'Scoring Guide'!$D$22+U36*'Scoring Guide'!$D$23+V36*'Scoring Guide'!$D$24+W36*'Scoring Guide'!$D$25+X36*'Scoring Guide'!$D$26+Y36*'Scoring Guide'!$D$27+Z36*'Scoring Guide'!$D$28+AA36*'Scoring Guide'!$D$29+AB36*'Scoring Guide'!$D$30+AC36*'Scoring Guide'!$D$31+(6-AD36)*'Scoring Guide'!$D$32+AE36*'Scoring Guide'!$D$33+(6-AF36)*'Scoring Guide'!$D$34+AG36*'Scoring Guide'!$D$35)/SUM('Scoring Guide'!$D$6:$D$35),2)</x:f>
        <x:v>2.85</x:v>
      </x:c>
    </x:row>
    <x:row r="37">
      <x:c r="A37" s="160" t="str">
        <x:v>L32</x:v>
      </x:c>
      <x:c r="B37" s="161" t="str">
        <x:v>Pertambangan dan energi</x:v>
      </x:c>
      <x:c r="C37" s="134" t="str">
        <x:v>C</x:v>
      </x:c>
      <x:c r="D37" s="170" t="n">
        <x:v>5</x:v>
      </x:c>
      <x:c r="E37" s="170" t="n">
        <x:v>4</x:v>
      </x:c>
      <x:c r="F37" s="170" t="n">
        <x:v>3</x:v>
      </x:c>
      <x:c r="G37" s="170" t="n">
        <x:v>5</x:v>
      </x:c>
      <x:c r="H37" s="170" t="n">
        <x:v>5</x:v>
      </x:c>
      <x:c r="I37" s="170" t="n">
        <x:v>4</x:v>
      </x:c>
      <x:c r="J37" s="170" t="n">
        <x:v>5</x:v>
      </x:c>
      <x:c r="K37" s="170" t="n">
        <x:v>5</x:v>
      </x:c>
      <x:c r="L37" s="170" t="n">
        <x:v>5</x:v>
      </x:c>
      <x:c r="M37" s="170" t="n">
        <x:v>5</x:v>
      </x:c>
      <x:c r="N37" s="170" t="n">
        <x:v>5</x:v>
      </x:c>
      <x:c r="O37" s="170" t="n">
        <x:v>4</x:v>
      </x:c>
      <x:c r="P37" s="170" t="n">
        <x:v>5</x:v>
      </x:c>
      <x:c r="Q37" s="170" t="n">
        <x:v>5</x:v>
      </x:c>
      <x:c r="R37" s="170" t="n">
        <x:v>3</x:v>
      </x:c>
      <x:c r="S37" s="170" t="n">
        <x:v>5</x:v>
      </x:c>
      <x:c r="T37" s="170" t="n">
        <x:v>2</x:v>
      </x:c>
      <x:c r="U37" s="170" t="n">
        <x:v>2</x:v>
      </x:c>
      <x:c r="V37" s="170" t="n">
        <x:v>1</x:v>
      </x:c>
      <x:c r="W37" s="170" t="n">
        <x:v>4</x:v>
      </x:c>
      <x:c r="X37" s="170" t="n">
        <x:v>4</x:v>
      </x:c>
      <x:c r="Y37" s="170" t="n">
        <x:v>4</x:v>
      </x:c>
      <x:c r="Z37" s="170" t="n">
        <x:v>4</x:v>
      </x:c>
      <x:c r="AA37" s="170" t="n">
        <x:v>5</x:v>
      </x:c>
      <x:c r="AB37" s="170" t="n">
        <x:v>5</x:v>
      </x:c>
      <x:c r="AC37" s="170" t="n">
        <x:v>3</x:v>
      </x:c>
      <x:c r="AD37" s="170" t="n">
        <x:v>5</x:v>
      </x:c>
      <x:c r="AE37" s="170" t="n">
        <x:v>1</x:v>
      </x:c>
      <x:c r="AF37" s="170" t="n">
        <x:v>5</x:v>
      </x:c>
      <x:c r="AG37" s="170" t="n">
        <x:v>4</x:v>
      </x:c>
      <x:c r="AH37" s="176" t="n">
        <x:f>ROUND((D37*'Scoring Guide'!$D$6+E37*'Scoring Guide'!$D$7+F37*'Scoring Guide'!$D$8+G37*'Scoring Guide'!$D$9+H37*'Scoring Guide'!$D$10+I37*'Scoring Guide'!$D$11+(6-J37)*'Scoring Guide'!$D$12+(6-K37)*'Scoring Guide'!$D$13+(6-L37)*'Scoring Guide'!$D$14+(6-M37)*'Scoring Guide'!$D$15+(6-N37)*'Scoring Guide'!$D$16+(6-O37)*'Scoring Guide'!$D$17+(6-P37)*'Scoring Guide'!$D$18+(6-Q37)*'Scoring Guide'!$D$19+(6-R37)*'Scoring Guide'!$D$20+(6-S37)*'Scoring Guide'!$D$21+T37*'Scoring Guide'!$D$22+U37*'Scoring Guide'!$D$23+V37*'Scoring Guide'!$D$24+W37*'Scoring Guide'!$D$25+X37*'Scoring Guide'!$D$26+Y37*'Scoring Guide'!$D$27+Z37*'Scoring Guide'!$D$28+AA37*'Scoring Guide'!$D$29+AB37*'Scoring Guide'!$D$30+AC37*'Scoring Guide'!$D$31+(6-AD37)*'Scoring Guide'!$D$32+AE37*'Scoring Guide'!$D$33+(6-AF37)*'Scoring Guide'!$D$34+AG37*'Scoring Guide'!$D$35)/SUM('Scoring Guide'!$D$6:$D$35),2)</x:f>
        <x:v>2.85</x:v>
      </x:c>
    </x:row>
    <x:row r="38">
      <x:c r="A38" s="160" t="str">
        <x:v>L33</x:v>
      </x:c>
      <x:c r="B38" s="161" t="str">
        <x:v>Pertanian, perikanan, dan kehutanan</x:v>
      </x:c>
      <x:c r="C38" s="134" t="str">
        <x:v>C</x:v>
      </x:c>
      <x:c r="D38" s="170" t="n">
        <x:v>5</x:v>
      </x:c>
      <x:c r="E38" s="170" t="n">
        <x:v>4</x:v>
      </x:c>
      <x:c r="F38" s="170" t="n">
        <x:v>3</x:v>
      </x:c>
      <x:c r="G38" s="170" t="n">
        <x:v>5</x:v>
      </x:c>
      <x:c r="H38" s="170" t="n">
        <x:v>5</x:v>
      </x:c>
      <x:c r="I38" s="170" t="n">
        <x:v>4</x:v>
      </x:c>
      <x:c r="J38" s="170" t="n">
        <x:v>5</x:v>
      </x:c>
      <x:c r="K38" s="170" t="n">
        <x:v>5</x:v>
      </x:c>
      <x:c r="L38" s="170" t="n">
        <x:v>5</x:v>
      </x:c>
      <x:c r="M38" s="170" t="n">
        <x:v>5</x:v>
      </x:c>
      <x:c r="N38" s="170" t="n">
        <x:v>5</x:v>
      </x:c>
      <x:c r="O38" s="170" t="n">
        <x:v>4</x:v>
      </x:c>
      <x:c r="P38" s="170" t="n">
        <x:v>5</x:v>
      </x:c>
      <x:c r="Q38" s="170" t="n">
        <x:v>5</x:v>
      </x:c>
      <x:c r="R38" s="170" t="n">
        <x:v>3</x:v>
      </x:c>
      <x:c r="S38" s="170" t="n">
        <x:v>5</x:v>
      </x:c>
      <x:c r="T38" s="170" t="n">
        <x:v>2</x:v>
      </x:c>
      <x:c r="U38" s="170" t="n">
        <x:v>2</x:v>
      </x:c>
      <x:c r="V38" s="170" t="n">
        <x:v>1</x:v>
      </x:c>
      <x:c r="W38" s="170" t="n">
        <x:v>4</x:v>
      </x:c>
      <x:c r="X38" s="170" t="n">
        <x:v>4</x:v>
      </x:c>
      <x:c r="Y38" s="170" t="n">
        <x:v>4</x:v>
      </x:c>
      <x:c r="Z38" s="170" t="n">
        <x:v>4</x:v>
      </x:c>
      <x:c r="AA38" s="170" t="n">
        <x:v>5</x:v>
      </x:c>
      <x:c r="AB38" s="170" t="n">
        <x:v>5</x:v>
      </x:c>
      <x:c r="AC38" s="170" t="n">
        <x:v>3</x:v>
      </x:c>
      <x:c r="AD38" s="170" t="n">
        <x:v>5</x:v>
      </x:c>
      <x:c r="AE38" s="170" t="n">
        <x:v>1</x:v>
      </x:c>
      <x:c r="AF38" s="170" t="n">
        <x:v>5</x:v>
      </x:c>
      <x:c r="AG38" s="170" t="n">
        <x:v>4</x:v>
      </x:c>
      <x:c r="AH38" s="176" t="n">
        <x:f>ROUND((D38*'Scoring Guide'!$D$6+E38*'Scoring Guide'!$D$7+F38*'Scoring Guide'!$D$8+G38*'Scoring Guide'!$D$9+H38*'Scoring Guide'!$D$10+I38*'Scoring Guide'!$D$11+(6-J38)*'Scoring Guide'!$D$12+(6-K38)*'Scoring Guide'!$D$13+(6-L38)*'Scoring Guide'!$D$14+(6-M38)*'Scoring Guide'!$D$15+(6-N38)*'Scoring Guide'!$D$16+(6-O38)*'Scoring Guide'!$D$17+(6-P38)*'Scoring Guide'!$D$18+(6-Q38)*'Scoring Guide'!$D$19+(6-R38)*'Scoring Guide'!$D$20+(6-S38)*'Scoring Guide'!$D$21+T38*'Scoring Guide'!$D$22+U38*'Scoring Guide'!$D$23+V38*'Scoring Guide'!$D$24+W38*'Scoring Guide'!$D$25+X38*'Scoring Guide'!$D$26+Y38*'Scoring Guide'!$D$27+Z38*'Scoring Guide'!$D$28+AA38*'Scoring Guide'!$D$29+AB38*'Scoring Guide'!$D$30+AC38*'Scoring Guide'!$D$31+(6-AD38)*'Scoring Guide'!$D$32+AE38*'Scoring Guide'!$D$33+(6-AF38)*'Scoring Guide'!$D$34+AG38*'Scoring Guide'!$D$35)/SUM('Scoring Guide'!$D$6:$D$35),2)</x:f>
        <x:v>2.85</x:v>
      </x:c>
    </x:row>
    <x:row r="39">
      <x:c r="A39" s="160" t="str">
        <x:v>L34</x:v>
      </x:c>
      <x:c r="B39" s="161" t="str">
        <x:v>Transportasi dan logistik advanced</x:v>
      </x:c>
      <x:c r="C39" s="134" t="str">
        <x:v>C</x:v>
      </x:c>
      <x:c r="D39" s="170" t="n">
        <x:v>5</x:v>
      </x:c>
      <x:c r="E39" s="170" t="n">
        <x:v>4</x:v>
      </x:c>
      <x:c r="F39" s="170" t="n">
        <x:v>3</x:v>
      </x:c>
      <x:c r="G39" s="170" t="n">
        <x:v>5</x:v>
      </x:c>
      <x:c r="H39" s="170" t="n">
        <x:v>5</x:v>
      </x:c>
      <x:c r="I39" s="170" t="n">
        <x:v>4</x:v>
      </x:c>
      <x:c r="J39" s="170" t="n">
        <x:v>5</x:v>
      </x:c>
      <x:c r="K39" s="170" t="n">
        <x:v>5</x:v>
      </x:c>
      <x:c r="L39" s="170" t="n">
        <x:v>5</x:v>
      </x:c>
      <x:c r="M39" s="170" t="n">
        <x:v>5</x:v>
      </x:c>
      <x:c r="N39" s="170" t="n">
        <x:v>5</x:v>
      </x:c>
      <x:c r="O39" s="170" t="n">
        <x:v>4</x:v>
      </x:c>
      <x:c r="P39" s="170" t="n">
        <x:v>5</x:v>
      </x:c>
      <x:c r="Q39" s="170" t="n">
        <x:v>5</x:v>
      </x:c>
      <x:c r="R39" s="170" t="n">
        <x:v>3</x:v>
      </x:c>
      <x:c r="S39" s="170" t="n">
        <x:v>5</x:v>
      </x:c>
      <x:c r="T39" s="170" t="n">
        <x:v>2</x:v>
      </x:c>
      <x:c r="U39" s="170" t="n">
        <x:v>2</x:v>
      </x:c>
      <x:c r="V39" s="170" t="n">
        <x:v>1</x:v>
      </x:c>
      <x:c r="W39" s="170" t="n">
        <x:v>4</x:v>
      </x:c>
      <x:c r="X39" s="170" t="n">
        <x:v>4</x:v>
      </x:c>
      <x:c r="Y39" s="170" t="n">
        <x:v>4</x:v>
      </x:c>
      <x:c r="Z39" s="170" t="n">
        <x:v>4</x:v>
      </x:c>
      <x:c r="AA39" s="170" t="n">
        <x:v>5</x:v>
      </x:c>
      <x:c r="AB39" s="170" t="n">
        <x:v>5</x:v>
      </x:c>
      <x:c r="AC39" s="170" t="n">
        <x:v>3</x:v>
      </x:c>
      <x:c r="AD39" s="170" t="n">
        <x:v>5</x:v>
      </x:c>
      <x:c r="AE39" s="170" t="n">
        <x:v>1</x:v>
      </x:c>
      <x:c r="AF39" s="170" t="n">
        <x:v>5</x:v>
      </x:c>
      <x:c r="AG39" s="170" t="n">
        <x:v>4</x:v>
      </x:c>
      <x:c r="AH39" s="176" t="n">
        <x:f>ROUND((D39*'Scoring Guide'!$D$6+E39*'Scoring Guide'!$D$7+F39*'Scoring Guide'!$D$8+G39*'Scoring Guide'!$D$9+H39*'Scoring Guide'!$D$10+I39*'Scoring Guide'!$D$11+(6-J39)*'Scoring Guide'!$D$12+(6-K39)*'Scoring Guide'!$D$13+(6-L39)*'Scoring Guide'!$D$14+(6-M39)*'Scoring Guide'!$D$15+(6-N39)*'Scoring Guide'!$D$16+(6-O39)*'Scoring Guide'!$D$17+(6-P39)*'Scoring Guide'!$D$18+(6-Q39)*'Scoring Guide'!$D$19+(6-R39)*'Scoring Guide'!$D$20+(6-S39)*'Scoring Guide'!$D$21+T39*'Scoring Guide'!$D$22+U39*'Scoring Guide'!$D$23+V39*'Scoring Guide'!$D$24+W39*'Scoring Guide'!$D$25+X39*'Scoring Guide'!$D$26+Y39*'Scoring Guide'!$D$27+Z39*'Scoring Guide'!$D$28+AA39*'Scoring Guide'!$D$29+AB39*'Scoring Guide'!$D$30+AC39*'Scoring Guide'!$D$31+(6-AD39)*'Scoring Guide'!$D$32+AE39*'Scoring Guide'!$D$33+(6-AF39)*'Scoring Guide'!$D$34+AG39*'Scoring Guide'!$D$35)/SUM('Scoring Guide'!$D$6:$D$35),2)</x:f>
        <x:v>2.85</x:v>
      </x:c>
    </x:row>
    <x:row r="40">
      <x:c r="A40" s="160" t="str">
        <x:v>L35</x:v>
      </x:c>
      <x:c r="B40" s="161" t="str">
        <x:v>Merek dan HAKI</x:v>
      </x:c>
      <x:c r="C40" s="134" t="str">
        <x:v>C</x:v>
      </x:c>
      <x:c r="D40" s="170" t="n">
        <x:v>2</x:v>
      </x:c>
      <x:c r="E40" s="170" t="n">
        <x:v>2</x:v>
      </x:c>
      <x:c r="F40" s="170" t="n">
        <x:v>5</x:v>
      </x:c>
      <x:c r="G40" s="170" t="n">
        <x:v>3</x:v>
      </x:c>
      <x:c r="H40" s="170" t="n">
        <x:v>1</x:v>
      </x:c>
      <x:c r="I40" s="170" t="n">
        <x:v>3</x:v>
      </x:c>
      <x:c r="J40" s="170" t="n">
        <x:v>2</x:v>
      </x:c>
      <x:c r="K40" s="170" t="n">
        <x:v>2</x:v>
      </x:c>
      <x:c r="L40" s="170" t="n">
        <x:v>3</x:v>
      </x:c>
      <x:c r="M40" s="170" t="n">
        <x:v>4</x:v>
      </x:c>
      <x:c r="N40" s="170" t="n">
        <x:v>3</x:v>
      </x:c>
      <x:c r="O40" s="170" t="n">
        <x:v>3</x:v>
      </x:c>
      <x:c r="P40" s="170" t="n">
        <x:v>2</x:v>
      </x:c>
      <x:c r="Q40" s="170" t="n">
        <x:v>2</x:v>
      </x:c>
      <x:c r="R40" s="170" t="n">
        <x:v>1</x:v>
      </x:c>
      <x:c r="S40" s="170" t="n">
        <x:v>4</x:v>
      </x:c>
      <x:c r="T40" s="170" t="n">
        <x:v>5</x:v>
      </x:c>
      <x:c r="U40" s="170" t="n">
        <x:v>5</x:v>
      </x:c>
      <x:c r="V40" s="170" t="n">
        <x:v>4</x:v>
      </x:c>
      <x:c r="W40" s="170" t="n">
        <x:v>4</x:v>
      </x:c>
      <x:c r="X40" s="170" t="n">
        <x:v>2</x:v>
      </x:c>
      <x:c r="Y40" s="170" t="n">
        <x:v>4</x:v>
      </x:c>
      <x:c r="Z40" s="170" t="n">
        <x:v>5</x:v>
      </x:c>
      <x:c r="AA40" s="170" t="n">
        <x:v>4</x:v>
      </x:c>
      <x:c r="AB40" s="170" t="n">
        <x:v>3</x:v>
      </x:c>
      <x:c r="AC40" s="170" t="n">
        <x:v>4</x:v>
      </x:c>
      <x:c r="AD40" s="170" t="n">
        <x:v>5</x:v>
      </x:c>
      <x:c r="AE40" s="170" t="n">
        <x:v>5</x:v>
      </x:c>
      <x:c r="AF40" s="170" t="n">
        <x:v>1</x:v>
      </x:c>
      <x:c r="AG40" s="170" t="n">
        <x:v>3</x:v>
      </x:c>
      <x:c r="AH40" s="176" t="n">
        <x:f>ROUND((D40*'Scoring Guide'!$D$6+E40*'Scoring Guide'!$D$7+F40*'Scoring Guide'!$D$8+G40*'Scoring Guide'!$D$9+H40*'Scoring Guide'!$D$10+I40*'Scoring Guide'!$D$11+(6-J40)*'Scoring Guide'!$D$12+(6-K40)*'Scoring Guide'!$D$13+(6-L40)*'Scoring Guide'!$D$14+(6-M40)*'Scoring Guide'!$D$15+(6-N40)*'Scoring Guide'!$D$16+(6-O40)*'Scoring Guide'!$D$17+(6-P40)*'Scoring Guide'!$D$18+(6-Q40)*'Scoring Guide'!$D$19+(6-R40)*'Scoring Guide'!$D$20+(6-S40)*'Scoring Guide'!$D$21+T40*'Scoring Guide'!$D$22+U40*'Scoring Guide'!$D$23+V40*'Scoring Guide'!$D$24+W40*'Scoring Guide'!$D$25+X40*'Scoring Guide'!$D$26+Y40*'Scoring Guide'!$D$27+Z40*'Scoring Guide'!$D$28+AA40*'Scoring Guide'!$D$29+AB40*'Scoring Guide'!$D$30+AC40*'Scoring Guide'!$D$31+(6-AD40)*'Scoring Guide'!$D$32+AE40*'Scoring Guide'!$D$33+(6-AF40)*'Scoring Guide'!$D$34+AG40*'Scoring Guide'!$D$35)/SUM('Scoring Guide'!$D$6:$D$35),2)</x:f>
        <x:v>3.44</x:v>
      </x:c>
    </x:row>
    <x:row r="41">
      <x:c r="A41" s="160" t="str">
        <x:v>L36</x:v>
      </x:c>
      <x:c r="B41" s="161" t="str">
        <x:v>Dokumen legal dan kontrak pendukung</x:v>
      </x:c>
      <x:c r="C41" s="132" t="str">
        <x:v>B</x:v>
      </x:c>
      <x:c r="D41" s="170" t="n">
        <x:v>3</x:v>
      </x:c>
      <x:c r="E41" s="170" t="n">
        <x:v>3</x:v>
      </x:c>
      <x:c r="F41" s="170" t="n">
        <x:v>3</x:v>
      </x:c>
      <x:c r="G41" s="170" t="n">
        <x:v>4</x:v>
      </x:c>
      <x:c r="H41" s="170" t="n">
        <x:v>2</x:v>
      </x:c>
      <x:c r="I41" s="170" t="n">
        <x:v>3</x:v>
      </x:c>
      <x:c r="J41" s="170" t="n">
        <x:v>3</x:v>
      </x:c>
      <x:c r="K41" s="170" t="n">
        <x:v>3</x:v>
      </x:c>
      <x:c r="L41" s="170" t="n">
        <x:v>3</x:v>
      </x:c>
      <x:c r="M41" s="170" t="n">
        <x:v>4</x:v>
      </x:c>
      <x:c r="N41" s="170" t="n">
        <x:v>3</x:v>
      </x:c>
      <x:c r="O41" s="170" t="n">
        <x:v>3</x:v>
      </x:c>
      <x:c r="P41" s="170" t="n">
        <x:v>3</x:v>
      </x:c>
      <x:c r="Q41" s="170" t="n">
        <x:v>3</x:v>
      </x:c>
      <x:c r="R41" s="170" t="n">
        <x:v>1</x:v>
      </x:c>
      <x:c r="S41" s="170" t="n">
        <x:v>3</x:v>
      </x:c>
      <x:c r="T41" s="170" t="n">
        <x:v>4</x:v>
      </x:c>
      <x:c r="U41" s="170" t="n">
        <x:v>4</x:v>
      </x:c>
      <x:c r="V41" s="170" t="n">
        <x:v>3</x:v>
      </x:c>
      <x:c r="W41" s="170" t="n">
        <x:v>4</x:v>
      </x:c>
      <x:c r="X41" s="170" t="n">
        <x:v>3</x:v>
      </x:c>
      <x:c r="Y41" s="170" t="n">
        <x:v>5</x:v>
      </x:c>
      <x:c r="Z41" s="170" t="n">
        <x:v>3</x:v>
      </x:c>
      <x:c r="AA41" s="170" t="n">
        <x:v>3</x:v>
      </x:c>
      <x:c r="AB41" s="170" t="n">
        <x:v>2</x:v>
      </x:c>
      <x:c r="AC41" s="170" t="n">
        <x:v>3</x:v>
      </x:c>
      <x:c r="AD41" s="170" t="n">
        <x:v>3</x:v>
      </x:c>
      <x:c r="AE41" s="170" t="n">
        <x:v>4</x:v>
      </x:c>
      <x:c r="AF41" s="170" t="n">
        <x:v>2</x:v>
      </x:c>
      <x:c r="AG41" s="170" t="n">
        <x:v>3</x:v>
      </x:c>
      <x:c r="AH41" s="176" t="n">
        <x:f>ROUND((D41*'Scoring Guide'!$D$6+E41*'Scoring Guide'!$D$7+F41*'Scoring Guide'!$D$8+G41*'Scoring Guide'!$D$9+H41*'Scoring Guide'!$D$10+I41*'Scoring Guide'!$D$11+(6-J41)*'Scoring Guide'!$D$12+(6-K41)*'Scoring Guide'!$D$13+(6-L41)*'Scoring Guide'!$D$14+(6-M41)*'Scoring Guide'!$D$15+(6-N41)*'Scoring Guide'!$D$16+(6-O41)*'Scoring Guide'!$D$17+(6-P41)*'Scoring Guide'!$D$18+(6-Q41)*'Scoring Guide'!$D$19+(6-R41)*'Scoring Guide'!$D$20+(6-S41)*'Scoring Guide'!$D$21+T41*'Scoring Guide'!$D$22+U41*'Scoring Guide'!$D$23+V41*'Scoring Guide'!$D$24+W41*'Scoring Guide'!$D$25+X41*'Scoring Guide'!$D$26+Y41*'Scoring Guide'!$D$27+Z41*'Scoring Guide'!$D$28+AA41*'Scoring Guide'!$D$29+AB41*'Scoring Guide'!$D$30+AC41*'Scoring Guide'!$D$31+(6-AD41)*'Scoring Guide'!$D$32+AE41*'Scoring Guide'!$D$33+(6-AF41)*'Scoring Guide'!$D$34+AG41*'Scoring Guide'!$D$35)/SUM('Scoring Guide'!$D$6:$D$35),2)</x:f>
        <x:v>3.27</x:v>
      </x:c>
    </x:row>
    <x:row r="42">
      <x:c r="A42" s="160" t="str">
        <x:v>L37</x:v>
      </x:c>
      <x:c r="B42" s="161" t="str">
        <x:v>Administrasi pajak dasar</x:v>
      </x:c>
      <x:c r="C42" s="134" t="str">
        <x:v>C</x:v>
      </x:c>
      <x:c r="D42" s="170" t="n">
        <x:v>2</x:v>
      </x:c>
      <x:c r="E42" s="170" t="n">
        <x:v>2</x:v>
      </x:c>
      <x:c r="F42" s="170" t="n">
        <x:v>5</x:v>
      </x:c>
      <x:c r="G42" s="170" t="n">
        <x:v>3</x:v>
      </x:c>
      <x:c r="H42" s="170" t="n">
        <x:v>1</x:v>
      </x:c>
      <x:c r="I42" s="170" t="n">
        <x:v>3</x:v>
      </x:c>
      <x:c r="J42" s="170" t="n">
        <x:v>2</x:v>
      </x:c>
      <x:c r="K42" s="170" t="n">
        <x:v>2</x:v>
      </x:c>
      <x:c r="L42" s="170" t="n">
        <x:v>3</x:v>
      </x:c>
      <x:c r="M42" s="170" t="n">
        <x:v>4</x:v>
      </x:c>
      <x:c r="N42" s="170" t="n">
        <x:v>3</x:v>
      </x:c>
      <x:c r="O42" s="170" t="n">
        <x:v>3</x:v>
      </x:c>
      <x:c r="P42" s="170" t="n">
        <x:v>2</x:v>
      </x:c>
      <x:c r="Q42" s="170" t="n">
        <x:v>2</x:v>
      </x:c>
      <x:c r="R42" s="170" t="n">
        <x:v>1</x:v>
      </x:c>
      <x:c r="S42" s="170" t="n">
        <x:v>4</x:v>
      </x:c>
      <x:c r="T42" s="170" t="n">
        <x:v>5</x:v>
      </x:c>
      <x:c r="U42" s="170" t="n">
        <x:v>5</x:v>
      </x:c>
      <x:c r="V42" s="170" t="n">
        <x:v>4</x:v>
      </x:c>
      <x:c r="W42" s="170" t="n">
        <x:v>4</x:v>
      </x:c>
      <x:c r="X42" s="170" t="n">
        <x:v>2</x:v>
      </x:c>
      <x:c r="Y42" s="170" t="n">
        <x:v>4</x:v>
      </x:c>
      <x:c r="Z42" s="170" t="n">
        <x:v>5</x:v>
      </x:c>
      <x:c r="AA42" s="170" t="n">
        <x:v>4</x:v>
      </x:c>
      <x:c r="AB42" s="170" t="n">
        <x:v>3</x:v>
      </x:c>
      <x:c r="AC42" s="170" t="n">
        <x:v>4</x:v>
      </x:c>
      <x:c r="AD42" s="170" t="n">
        <x:v>5</x:v>
      </x:c>
      <x:c r="AE42" s="170" t="n">
        <x:v>5</x:v>
      </x:c>
      <x:c r="AF42" s="170" t="n">
        <x:v>1</x:v>
      </x:c>
      <x:c r="AG42" s="170" t="n">
        <x:v>3</x:v>
      </x:c>
      <x:c r="AH42" s="176" t="n">
        <x:f>ROUND((D42*'Scoring Guide'!$D$6+E42*'Scoring Guide'!$D$7+F42*'Scoring Guide'!$D$8+G42*'Scoring Guide'!$D$9+H42*'Scoring Guide'!$D$10+I42*'Scoring Guide'!$D$11+(6-J42)*'Scoring Guide'!$D$12+(6-K42)*'Scoring Guide'!$D$13+(6-L42)*'Scoring Guide'!$D$14+(6-M42)*'Scoring Guide'!$D$15+(6-N42)*'Scoring Guide'!$D$16+(6-O42)*'Scoring Guide'!$D$17+(6-P42)*'Scoring Guide'!$D$18+(6-Q42)*'Scoring Guide'!$D$19+(6-R42)*'Scoring Guide'!$D$20+(6-S42)*'Scoring Guide'!$D$21+T42*'Scoring Guide'!$D$22+U42*'Scoring Guide'!$D$23+V42*'Scoring Guide'!$D$24+W42*'Scoring Guide'!$D$25+X42*'Scoring Guide'!$D$26+Y42*'Scoring Guide'!$D$27+Z42*'Scoring Guide'!$D$28+AA42*'Scoring Guide'!$D$29+AB42*'Scoring Guide'!$D$30+AC42*'Scoring Guide'!$D$31+(6-AD42)*'Scoring Guide'!$D$32+AE42*'Scoring Guide'!$D$33+(6-AF42)*'Scoring Guide'!$D$34+AG42*'Scoring Guide'!$D$35)/SUM('Scoring Guide'!$D$6:$D$35),2)</x:f>
        <x:v>3.44</x:v>
      </x:c>
    </x:row>
    <x:row r="43">
      <x:c r="A43" s="160" t="str">
        <x:v>L38</x:v>
      </x:c>
      <x:c r="B43" s="161" t="str">
        <x:v>Virtual office dan administrasi umum</x:v>
      </x:c>
      <x:c r="C43" s="134" t="str">
        <x:v>C</x:v>
      </x:c>
      <x:c r="D43" s="170" t="n">
        <x:v>2</x:v>
      </x:c>
      <x:c r="E43" s="170" t="n">
        <x:v>2</x:v>
      </x:c>
      <x:c r="F43" s="170" t="n">
        <x:v>5</x:v>
      </x:c>
      <x:c r="G43" s="170" t="n">
        <x:v>3</x:v>
      </x:c>
      <x:c r="H43" s="170" t="n">
        <x:v>1</x:v>
      </x:c>
      <x:c r="I43" s="170" t="n">
        <x:v>3</x:v>
      </x:c>
      <x:c r="J43" s="170" t="n">
        <x:v>2</x:v>
      </x:c>
      <x:c r="K43" s="170" t="n">
        <x:v>2</x:v>
      </x:c>
      <x:c r="L43" s="170" t="n">
        <x:v>3</x:v>
      </x:c>
      <x:c r="M43" s="170" t="n">
        <x:v>4</x:v>
      </x:c>
      <x:c r="N43" s="170" t="n">
        <x:v>3</x:v>
      </x:c>
      <x:c r="O43" s="170" t="n">
        <x:v>3</x:v>
      </x:c>
      <x:c r="P43" s="170" t="n">
        <x:v>2</x:v>
      </x:c>
      <x:c r="Q43" s="170" t="n">
        <x:v>2</x:v>
      </x:c>
      <x:c r="R43" s="170" t="n">
        <x:v>1</x:v>
      </x:c>
      <x:c r="S43" s="170" t="n">
        <x:v>4</x:v>
      </x:c>
      <x:c r="T43" s="170" t="n">
        <x:v>5</x:v>
      </x:c>
      <x:c r="U43" s="170" t="n">
        <x:v>5</x:v>
      </x:c>
      <x:c r="V43" s="170" t="n">
        <x:v>4</x:v>
      </x:c>
      <x:c r="W43" s="170" t="n">
        <x:v>4</x:v>
      </x:c>
      <x:c r="X43" s="170" t="n">
        <x:v>2</x:v>
      </x:c>
      <x:c r="Y43" s="170" t="n">
        <x:v>4</x:v>
      </x:c>
      <x:c r="Z43" s="170" t="n">
        <x:v>5</x:v>
      </x:c>
      <x:c r="AA43" s="170" t="n">
        <x:v>4</x:v>
      </x:c>
      <x:c r="AB43" s="170" t="n">
        <x:v>3</x:v>
      </x:c>
      <x:c r="AC43" s="170" t="n">
        <x:v>4</x:v>
      </x:c>
      <x:c r="AD43" s="170" t="n">
        <x:v>5</x:v>
      </x:c>
      <x:c r="AE43" s="170" t="n">
        <x:v>5</x:v>
      </x:c>
      <x:c r="AF43" s="170" t="n">
        <x:v>1</x:v>
      </x:c>
      <x:c r="AG43" s="170" t="n">
        <x:v>3</x:v>
      </x:c>
      <x:c r="AH43" s="176" t="n">
        <x:f>ROUND((D43*'Scoring Guide'!$D$6+E43*'Scoring Guide'!$D$7+F43*'Scoring Guide'!$D$8+G43*'Scoring Guide'!$D$9+H43*'Scoring Guide'!$D$10+I43*'Scoring Guide'!$D$11+(6-J43)*'Scoring Guide'!$D$12+(6-K43)*'Scoring Guide'!$D$13+(6-L43)*'Scoring Guide'!$D$14+(6-M43)*'Scoring Guide'!$D$15+(6-N43)*'Scoring Guide'!$D$16+(6-O43)*'Scoring Guide'!$D$17+(6-P43)*'Scoring Guide'!$D$18+(6-Q43)*'Scoring Guide'!$D$19+(6-R43)*'Scoring Guide'!$D$20+(6-S43)*'Scoring Guide'!$D$21+T43*'Scoring Guide'!$D$22+U43*'Scoring Guide'!$D$23+V43*'Scoring Guide'!$D$24+W43*'Scoring Guide'!$D$25+X43*'Scoring Guide'!$D$26+Y43*'Scoring Guide'!$D$27+Z43*'Scoring Guide'!$D$28+AA43*'Scoring Guide'!$D$29+AB43*'Scoring Guide'!$D$30+AC43*'Scoring Guide'!$D$31+(6-AD43)*'Scoring Guide'!$D$32+AE43*'Scoring Guide'!$D$33+(6-AF43)*'Scoring Guide'!$D$34+AG43*'Scoring Guide'!$D$35)/SUM('Scoring Guide'!$D$6:$D$35),2)</x:f>
        <x:v>3.44</x:v>
      </x:c>
    </x:row>
    <x:row r="44">
      <x:c r="A44" s="163" t="str">
        <x:v>L39</x:v>
      </x:c>
      <x:c r="B44" s="164" t="str">
        <x:v>Perizinan UMKM/jasa lain yang tidak terkurasi</x:v>
      </x:c>
      <x:c r="C44" s="138" t="str">
        <x:v>C</x:v>
      </x:c>
      <x:c r="D44" s="171" t="n">
        <x:v>2</x:v>
      </x:c>
      <x:c r="E44" s="171" t="n">
        <x:v>2</x:v>
      </x:c>
      <x:c r="F44" s="171" t="n">
        <x:v>5</x:v>
      </x:c>
      <x:c r="G44" s="171" t="n">
        <x:v>3</x:v>
      </x:c>
      <x:c r="H44" s="171" t="n">
        <x:v>1</x:v>
      </x:c>
      <x:c r="I44" s="171" t="n">
        <x:v>3</x:v>
      </x:c>
      <x:c r="J44" s="171" t="n">
        <x:v>2</x:v>
      </x:c>
      <x:c r="K44" s="171" t="n">
        <x:v>2</x:v>
      </x:c>
      <x:c r="L44" s="171" t="n">
        <x:v>3</x:v>
      </x:c>
      <x:c r="M44" s="171" t="n">
        <x:v>4</x:v>
      </x:c>
      <x:c r="N44" s="171" t="n">
        <x:v>3</x:v>
      </x:c>
      <x:c r="O44" s="171" t="n">
        <x:v>3</x:v>
      </x:c>
      <x:c r="P44" s="171" t="n">
        <x:v>2</x:v>
      </x:c>
      <x:c r="Q44" s="171" t="n">
        <x:v>2</x:v>
      </x:c>
      <x:c r="R44" s="171" t="n">
        <x:v>1</x:v>
      </x:c>
      <x:c r="S44" s="171" t="n">
        <x:v>4</x:v>
      </x:c>
      <x:c r="T44" s="171" t="n">
        <x:v>5</x:v>
      </x:c>
      <x:c r="U44" s="171" t="n">
        <x:v>5</x:v>
      </x:c>
      <x:c r="V44" s="171" t="n">
        <x:v>4</x:v>
      </x:c>
      <x:c r="W44" s="171" t="n">
        <x:v>4</x:v>
      </x:c>
      <x:c r="X44" s="171" t="n">
        <x:v>2</x:v>
      </x:c>
      <x:c r="Y44" s="171" t="n">
        <x:v>4</x:v>
      </x:c>
      <x:c r="Z44" s="171" t="n">
        <x:v>5</x:v>
      </x:c>
      <x:c r="AA44" s="171" t="n">
        <x:v>4</x:v>
      </x:c>
      <x:c r="AB44" s="171" t="n">
        <x:v>3</x:v>
      </x:c>
      <x:c r="AC44" s="171" t="n">
        <x:v>4</x:v>
      </x:c>
      <x:c r="AD44" s="171" t="n">
        <x:v>5</x:v>
      </x:c>
      <x:c r="AE44" s="171" t="n">
        <x:v>5</x:v>
      </x:c>
      <x:c r="AF44" s="171" t="n">
        <x:v>1</x:v>
      </x:c>
      <x:c r="AG44" s="171" t="n">
        <x:v>3</x:v>
      </x:c>
      <x:c r="AH44" s="177" t="n">
        <x:f>ROUND((D44*'Scoring Guide'!$D$6+E44*'Scoring Guide'!$D$7+F44*'Scoring Guide'!$D$8+G44*'Scoring Guide'!$D$9+H44*'Scoring Guide'!$D$10+I44*'Scoring Guide'!$D$11+(6-J44)*'Scoring Guide'!$D$12+(6-K44)*'Scoring Guide'!$D$13+(6-L44)*'Scoring Guide'!$D$14+(6-M44)*'Scoring Guide'!$D$15+(6-N44)*'Scoring Guide'!$D$16+(6-O44)*'Scoring Guide'!$D$17+(6-P44)*'Scoring Guide'!$D$18+(6-Q44)*'Scoring Guide'!$D$19+(6-R44)*'Scoring Guide'!$D$20+(6-S44)*'Scoring Guide'!$D$21+T44*'Scoring Guide'!$D$22+U44*'Scoring Guide'!$D$23+V44*'Scoring Guide'!$D$24+W44*'Scoring Guide'!$D$25+X44*'Scoring Guide'!$D$26+Y44*'Scoring Guide'!$D$27+Z44*'Scoring Guide'!$D$28+AA44*'Scoring Guide'!$D$29+AB44*'Scoring Guide'!$D$30+AC44*'Scoring Guide'!$D$31+(6-AD44)*'Scoring Guide'!$D$32+AE44*'Scoring Guide'!$D$33+(6-AF44)*'Scoring Guide'!$D$34+AG44*'Scoring Guide'!$D$35)/SUM('Scoring Guide'!$D$6:$D$35),2)</x:f>
        <x:v>3.44</x:v>
      </x:c>
    </x:row>
  </x:sheetData>
  <x:mergeCells>
    <x:mergeCell ref="A1:AH1"/>
    <x:mergeCell ref="A2:AH2"/>
    <x:mergeCell ref="A3:A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9" hidden="0" customWidth="1"/>
    <x:col min="4" max="4" width="20" hidden="0" customWidth="1"/>
    <x:col min="5" max="5" width="12" hidden="0" customWidth="1"/>
    <x:col min="6" max="6" width="44" hidden="0" customWidth="1"/>
    <x:col min="7" max="7" width="48" hidden="0" customWidth="1"/>
    <x:col min="8" max="8" width="30" hidden="0" customWidth="1"/>
    <x:col min="9" max="9" width="38" hidden="0" customWidth="1"/>
    <x:col min="10" max="10" width="28" hidden="0" customWidth="1"/>
    <x:col min="11" max="11" width="24" hidden="0" customWidth="1"/>
  </x:cols>
  <x:sheetData>
    <x:row r="1" ht="34" customHeight="1">
      <x:c r="A1" s="4" t="str">
        <x:v>Service Portfolio Decisions</x:v>
      </x:c>
      <x:c r="B1" s="4" t="str">
        <x:v>Service Portfolio Decisions</x:v>
      </x:c>
      <x:c r="C1" s="4" t="str">
        <x:v>Service Portfolio Decisions</x:v>
      </x:c>
      <x:c r="D1" s="4" t="str">
        <x:v>Service Portfolio Decisions</x:v>
      </x:c>
      <x:c r="E1" s="4" t="str">
        <x:v>Service Portfolio Decisions</x:v>
      </x:c>
      <x:c r="F1" s="4" t="str">
        <x:v>Service Portfolio Decisions</x:v>
      </x:c>
      <x:c r="G1" s="4" t="str">
        <x:v>Service Portfolio Decisions</x:v>
      </x:c>
      <x:c r="H1" s="4" t="str">
        <x:v>Service Portfolio Decisions</x:v>
      </x:c>
      <x:c r="I1" s="4" t="str">
        <x:v>Service Portfolio Decisions</x:v>
      </x:c>
      <x:c r="J1" s="4" t="str">
        <x:v>Service Portfolio Decisions</x:v>
      </x:c>
      <x:c r="K1" s="4" t="str">
        <x:v>Service Portfolio Decisions</x:v>
      </x:c>
    </x:row>
    <x:row r="2" ht="28" customHeight="1">
      <x:c r="A2" s="7" t="str">
        <x:v>Grades, decisions, gates, and evidence status.</x:v>
      </x:c>
      <x:c r="B2" s="7" t="str">
        <x:v>Grades, decisions, gates, and evidence status.</x:v>
      </x:c>
      <x:c r="C2" s="7" t="str">
        <x:v>Grades, decisions, gates, and evidence status.</x:v>
      </x:c>
      <x:c r="D2" s="7" t="str">
        <x:v>Grades, decisions, gates, and evidence status.</x:v>
      </x:c>
      <x:c r="E2" s="7" t="str">
        <x:v>Grades, decisions, gates, and evidence status.</x:v>
      </x:c>
      <x:c r="F2" s="7" t="str">
        <x:v>Grades, decisions, gates, and evidence status.</x:v>
      </x:c>
      <x:c r="G2" s="7" t="str">
        <x:v>Grades, decisions, gates, and evidence status.</x:v>
      </x:c>
      <x:c r="H2" s="7" t="str">
        <x:v>Grades, decisions, gates, and evidence status.</x:v>
      </x:c>
      <x:c r="I2" s="7" t="str">
        <x:v>Grades, decisions, gates, and evidence status.</x:v>
      </x:c>
      <x:c r="J2" s="7" t="str">
        <x:v>Grades, decisions, gates, and evidence status.</x:v>
      </x:c>
      <x:c r="K2" s="7" t="str">
        <x:v>Grades, decisions, gates, and evidence status.</x:v>
      </x:c>
    </x:row>
    <x:row r="3" ht="30" customHeight="1">
      <x:c r="A3" s="10" t="str">
        <x:v>Eliminated usually means removed as standalone public offer.</x:v>
      </x:c>
      <x:c r="B3" s="10" t="str">
        <x:v>Eliminated usually means removed as standalone public offer.</x:v>
      </x:c>
      <x:c r="C3" s="10" t="str">
        <x:v>Eliminated usually means removed as standalone public offer.</x:v>
      </x:c>
      <x:c r="D3" s="10" t="str">
        <x:v>Eliminated usually means removed as standalone public offer.</x:v>
      </x:c>
      <x:c r="E3" s="10" t="str">
        <x:v>Eliminated usually means removed as standalone public offer.</x:v>
      </x:c>
      <x:c r="F3" s="10" t="str">
        <x:v>Eliminated usually means removed as standalone public offer.</x:v>
      </x:c>
      <x:c r="G3" s="10" t="str">
        <x:v>Eliminated usually means removed as standalone public offer.</x:v>
      </x:c>
      <x:c r="H3" s="10" t="str">
        <x:v>Eliminated usually means removed as standalone public offer.</x:v>
      </x:c>
      <x:c r="I3" s="10" t="str">
        <x:v>Eliminated usually means removed as standalone public offer.</x:v>
      </x:c>
      <x:c r="J3" s="10" t="str">
        <x:v>Eliminated usually means removed as standalone public offer.</x:v>
      </x:c>
      <x:c r="K3" s="10" t="str">
        <x:v>Eliminated usually means removed as standalone public offer.</x:v>
      </x:c>
    </x:row>
    <x:row r="5" ht="34" customHeight="1">
      <x:c r="A5" s="22" t="str">
        <x:v>ID</x:v>
      </x:c>
      <x:c r="B5" s="23" t="str">
        <x:v>Service</x:v>
      </x:c>
      <x:c r="C5" s="23" t="str">
        <x:v>Grade</x:v>
      </x:c>
      <x:c r="D5" s="23" t="str">
        <x:v>Decision</x:v>
      </x:c>
      <x:c r="E5" s="23" t="str">
        <x:v>Composite</x:v>
      </x:c>
      <x:c r="F5" s="23" t="str">
        <x:v>Why</x:v>
      </x:c>
      <x:c r="G5" s="23" t="str">
        <x:v>Conditions</x:v>
      </x:c>
      <x:c r="H5" s="23" t="str">
        <x:v>Readiness</x:v>
      </x:c>
      <x:c r="I5" s="23" t="str">
        <x:v>Primary risk</x:v>
      </x:c>
      <x:c r="J5" s="23" t="str">
        <x:v>Source</x:v>
      </x:c>
      <x:c r="K5" s="24" t="str">
        <x:v>Public role</x:v>
      </x:c>
    </x:row>
    <x:row r="6" ht="48" customHeight="1">
      <x:c r="A6" s="95" t="str">
        <x:v>L01</x:v>
      </x:c>
      <x:c r="B6" s="96" t="str">
        <x:v>Regulatory Readiness &amp; Permit Roadmap</x:v>
      </x:c>
      <x:c r="C6" s="130" t="str">
        <x:v>A</x:v>
      </x:c>
      <x:c r="D6" s="96" t="str">
        <x:v>Lean Launch</x:v>
      </x:c>
      <x:c r="E6" s="182" t="n">
        <x:v>4</x:v>
      </x:c>
      <x:c r="F6" s="96" t="str">
        <x:v>Masalah bernilai tinggi dan proses paling mudah distandardisasi tanpa menanggung seluruh eksekusi</x:v>
      </x:c>
      <x:c r="G6" s="96" t="str">
        <x:v>Template assessment, reviewer kompeten, disclaimer otoritas, deliverable dan exclusion disetujui</x:v>
      </x:c>
      <x:c r="H6" s="96" t="str">
        <x:v>Konsep kuat; scope final belum disetujui</x:v>
      </x:c>
      <x:c r="I6" s="96" t="str">
        <x:v>Kesalahan mapping dapat memicu rework dan reputational loss</x:v>
      </x:c>
      <x:c r="J6" s="96" t="str">
        <x:v>S02 T38-T41,T50,T56; S03 T5,T9; S12 T12-13</x:v>
      </x:c>
      <x:c r="K6" s="97" t="str">
        <x:v>Core offer/module</x:v>
      </x:c>
    </x:row>
    <x:row r="7" ht="48" customHeight="1">
      <x:c r="A7" s="98" t="str">
        <x:v>L02</x:v>
      </x:c>
      <x:c r="B7" s="99" t="str">
        <x:v>Pendirian PT/CV + dokumen dasar + NIB sebagai paket</x:v>
      </x:c>
      <x:c r="C7" s="132" t="str">
        <x:v>B</x:v>
      </x:c>
      <x:c r="D7" s="99" t="str">
        <x:v>Controlled Growth</x:v>
      </x:c>
      <x:c r="E7" s="183" t="n">
        <x:v>3.44</x:v>
      </x:c>
      <x:c r="F7" s="99" t="str">
        <x:v>Layak sebagai modul pendukung, bukan core high-ticket</x:v>
      </x:c>
      <x:c r="G7" s="99" t="str">
        <x:v>Hanya paket minimum bernilai jelas; tidak dijadikan headline; fee floor dan checklist</x:v>
      </x:c>
      <x:c r="H7" s="99" t="str">
        <x:v>Prototype; deliverable belum disetujui</x:v>
      </x:c>
      <x:c r="I7" s="99" t="str">
        <x:v>Scope creep, komunikasi tinggi, dan positioning turun menjadi penyedia administrasi</x:v>
      </x:c>
      <x:c r="J7" s="99" t="str">
        <x:v>S02 T14,T38; S10 home.ts; S11 pp.2-3,6</x:v>
      </x:c>
      <x:c r="K7" s="100" t="str">
        <x:v>Supporting/gated</x:v>
      </x:c>
    </x:row>
    <x:row r="8" ht="48" customHeight="1">
      <x:c r="A8" s="98" t="str">
        <x:v>L03</x:v>
      </x:c>
      <x:c r="B8" s="99" t="str">
        <x:v>Pendirian PT PMA</x:v>
      </x:c>
      <x:c r="C8" s="132" t="str">
        <x:v>B</x:v>
      </x:c>
      <x:c r="D8" s="99" t="str">
        <x:v>Controlled Growth</x:v>
      </x:c>
      <x:c r="E8" s="183" t="n">
        <x:v>3.4</x:v>
      </x:c>
      <x:c r="F8" s="99" t="str">
        <x:v>High-ticket potensial tetapi proof, SOP, dan scope belum tersedia</x:v>
      </x:c>
      <x:c r="G8" s="99" t="str">
        <x:v>Lead kompeten, checklist dokumen, penerjemahan/partner bila perlu, tidak menjanjikan approval</x:v>
      </x:c>
      <x:c r="H8" s="99" t="str">
        <x:v>Prototype; capability proof belum tersedia</x:v>
      </x:c>
      <x:c r="I8" s="99" t="str">
        <x:v>Salah scope investasi/KBLI; dependensi dokumen lintas negara</x:v>
      </x:c>
      <x:c r="J8" s="99" t="str">
        <x:v>S02 T34,T38,T84; S10 home.ts; S11 p.3</x:v>
      </x:c>
      <x:c r="K8" s="100" t="str">
        <x:v>Supporting/gated</x:v>
      </x:c>
    </x:row>
    <x:row r="9" ht="48" customHeight="1">
      <x:c r="A9" s="98" t="str">
        <x:v>L04</x:v>
      </x:c>
      <x:c r="B9" s="99" t="str">
        <x:v>Bentuk badan lain</x:v>
      </x:c>
      <x:c r="C9" s="134" t="str">
        <x:v>C</x:v>
      </x:c>
      <x:c r="D9" s="99" t="str">
        <x:v>Ditunda</x:v>
      </x:c>
      <x:c r="E9" s="183" t="n">
        <x:v>3.44</x:v>
      </x:c>
      <x:c r="F9" s="99" t="str">
        <x:v>Tidak cocok untuk lean launch tanpa bukti volume dan margin</x:v>
      </x:c>
      <x:c r="G9" s="99" t="str">
        <x:v>Tawarkan hanya setelah demand/profit dan partner tervalidasi</x:v>
      </x:c>
      <x:c r="H9" s="99" t="str">
        <x:v>Hanya ditemukan pada audit kompetitor</x:v>
      </x:c>
      <x:c r="I9" s="99" t="str">
        <x:v>Long-tail inquiry dan kesalahan pemilihan bentuk</x:v>
      </x:c>
      <x:c r="J9" s="99" t="str">
        <x:v>S11 p.3</x:v>
      </x:c>
      <x:c r="K9" s="100" t="str">
        <x:v>Hidden</x:v>
      </x:c>
    </x:row>
    <x:row r="10" ht="48" customHeight="1">
      <x:c r="A10" s="98" t="str">
        <x:v>L05</x:v>
      </x:c>
      <x:c r="B10" s="99" t="str">
        <x:v>Perubahan data korporasi</x:v>
      </x:c>
      <x:c r="C10" s="132" t="str">
        <x:v>B</x:v>
      </x:c>
      <x:c r="D10" s="99" t="str">
        <x:v>Controlled Growth</x:v>
      </x:c>
      <x:c r="E10" s="183" t="n">
        <x:v>3.27</x:v>
      </x:c>
      <x:c r="F10" s="99" t="str">
        <x:v>Baik sebagai modul retainer atau project, bukan landing page utama</x:v>
      </x:c>
      <x:c r="G10" s="99" t="str">
        <x:v>Hanya untuk klien dengan baseline document audit; scope perubahan tertulis</x:v>
      </x:c>
      <x:c r="H10" s="99" t="str">
        <x:v>Prototype</x:v>
      </x:c>
      <x:c r="I10" s="99" t="str">
        <x:v>Data tidak konsisten dan dependensi notaris/otoritas</x:v>
      </x:c>
      <x:c r="J10" s="99" t="str">
        <x:v>S02 T38-T39; S10 home.ts; S11 p.3</x:v>
      </x:c>
      <x:c r="K10" s="100" t="str">
        <x:v>Supporting/gated</x:v>
      </x:c>
    </x:row>
    <x:row r="11" ht="48" customHeight="1">
      <x:c r="A11" s="98" t="str">
        <x:v>L06</x:v>
      </x:c>
      <x:c r="B11" s="99" t="str">
        <x:v>KBLI, NIB, dan OSS-RBA mapping</x:v>
      </x:c>
      <x:c r="C11" s="136" t="str">
        <x:v>A</x:v>
      </x:c>
      <x:c r="D11" s="99" t="str">
        <x:v>Lean Launch</x:v>
      </x:c>
      <x:c r="E11" s="183" t="n">
        <x:v>4</x:v>
      </x:c>
      <x:c r="F11" s="99" t="str">
        <x:v>A jika berupa diagnosis high-value; C jika hanya administrasi NIB</x:v>
      </x:c>
      <x:c r="G11" s="99" t="str">
        <x:v>Dijual sebagai mapping/alignment, bukan jasa cetak NIB; reviewer dan assumptions log</x:v>
      </x:c>
      <x:c r="H11" s="99" t="str">
        <x:v>Kategori disetujui; scope final belum</x:v>
      </x:c>
      <x:c r="I11" s="99" t="str">
        <x:v>Kesalahan mapping; perubahan regulasi; klien menganggap NIB = semua izin selesai</x:v>
      </x:c>
      <x:c r="J11" s="99" t="str">
        <x:v>S02 T14,T38-T40,T84; S03 T10; S10 home.ts; S21 risk-based article</x:v>
      </x:c>
      <x:c r="K11" s="100" t="str">
        <x:v>Core offer/module</x:v>
      </x:c>
    </x:row>
    <x:row r="12" ht="48" customHeight="1">
      <x:c r="A12" s="98" t="str">
        <x:v>L07</x:v>
      </x:c>
      <x:c r="B12" s="99" t="str">
        <x:v>NIB/OSS standalone</x:v>
      </x:c>
      <x:c r="C12" s="134" t="str">
        <x:v>C</x:v>
      </x:c>
      <x:c r="D12" s="99" t="str">
        <x:v>Dieliminasi</x:v>
      </x:c>
      <x:c r="E12" s="183" t="n">
        <x:v>3.44</x:v>
      </x:c>
      <x:c r="F12" s="99" t="str">
        <x:v>Tidak memenuhi high-ticket dan leverage media tidak sebanding maintenance</x:v>
      </x:c>
      <x:c r="G12" s="99" t="str">
        <x:v>Hanya sebagai bagian paket atau retainer; tidak dipromosikan standalone</x:v>
      </x:c>
      <x:c r="H12" s="99" t="str">
        <x:v>Ada dalam prototype secara luas</x:v>
      </x:c>
      <x:c r="I12" s="99" t="str">
        <x:v>Price shopping dan harapan kecepatan/approval</x:v>
      </x:c>
      <x:c r="J12" s="99" t="str">
        <x:v>S11 pp.2,6; S12 paras 146-159</x:v>
      </x:c>
      <x:c r="K12" s="100" t="str">
        <x:v>Remove standalone</x:v>
      </x:c>
    </x:row>
    <x:row r="13" ht="48" customHeight="1">
      <x:c r="A13" s="98" t="str">
        <x:v>L08</x:v>
      </x:c>
      <x:c r="B13" s="99" t="str">
        <x:v>Sertifikat Standar, Izin, dan PB UMKU terpilih</x:v>
      </x:c>
      <x:c r="C13" s="132" t="str">
        <x:v>B</x:v>
      </x:c>
      <x:c r="D13" s="99" t="str">
        <x:v>Controlled Growth</x:v>
      </x:c>
      <x:c r="E13" s="183" t="n">
        <x:v>3.4</x:v>
      </x:c>
      <x:c r="F13" s="99" t="str">
        <x:v>Menarik secara bisnis tetapi belum layak sebagai katalog universal</x:v>
      </x:c>
      <x:c r="G13" s="99" t="str">
        <x:v>Batasi sektor; service blueprint per sektor; partner SLA; no guarantee</x:v>
      </x:c>
      <x:c r="H13" s="99" t="str">
        <x:v>Prototype; sektor coverage belum disetujui</x:v>
      </x:c>
      <x:c r="I13" s="99" t="str">
        <x:v>Delay, complaint, regulatory change, dan salah klasifikasi</x:v>
      </x:c>
      <x:c r="J13" s="99" t="str">
        <x:v>S03 T10; S05 I-034-I-042; S10 home.ts; S11 p.3</x:v>
      </x:c>
      <x:c r="K13" s="100" t="str">
        <x:v>Supporting/gated</x:v>
      </x:c>
    </x:row>
    <x:row r="14" ht="48" customHeight="1">
      <x:c r="A14" s="98" t="str">
        <x:v>L09</x:v>
      </x:c>
      <x:c r="B14" s="99" t="str">
        <x:v>Perizinan sektoral umum</x:v>
      </x:c>
      <x:c r="C14" s="132" t="str">
        <x:v>B</x:v>
      </x:c>
      <x:c r="D14" s="99" t="str">
        <x:v>Controlled Growth</x:v>
      </x:c>
      <x:c r="E14" s="183" t="n">
        <x:v>3.4</x:v>
      </x:c>
      <x:c r="F14" s="99" t="str">
        <x:v>Grade B hanya sebagai daftar terkurasi; istilah payung tidak boleh menjadi janji universal</x:v>
      </x:c>
      <x:c r="G14" s="99" t="str">
        <x:v>Publikasikan hanya sektor yang punya case owner, SOP, partner, dan reviewer</x:v>
      </x:c>
      <x:c r="H14" s="99" t="str">
        <x:v>Kategori disetujui; cakupan belum</x:v>
      </x:c>
      <x:c r="I14" s="99" t="str">
        <x:v>Overclaim kompetensi dan scope ambiguity</x:v>
      </x:c>
      <x:c r="J14" s="99" t="str">
        <x:v>S02 T14,T38; S03 T7,T10-T11; S05 I-034-I-042</x:v>
      </x:c>
      <x:c r="K14" s="100" t="str">
        <x:v>Supporting/gated</x:v>
      </x:c>
    </x:row>
    <x:row r="15" ht="48" customHeight="1">
      <x:c r="A15" s="98" t="str">
        <x:v>L10</x:v>
      </x:c>
      <x:c r="B15" s="99" t="str">
        <x:v>LKPM dan pelaporan pasca-izin</x:v>
      </x:c>
      <x:c r="C15" s="136" t="str">
        <x:v>A</x:v>
      </x:c>
      <x:c r="D15" s="99" t="str">
        <x:v>Lean Launch</x:v>
      </x:c>
      <x:c r="E15" s="183" t="n">
        <x:v>3.83</x:v>
      </x:c>
      <x:c r="F15" s="99" t="str">
        <x:v>Core recurring module dengan leverage sistem tinggi</x:v>
      </x:c>
      <x:c r="G15" s="99" t="str">
        <x:v>Calendar ownership, reminder cadence, RACI, data cut-off, reviewer</x:v>
      </x:c>
      <x:c r="H15" s="99" t="str">
        <x:v>Prototype; SOP belum tersedia</x:v>
      </x:c>
      <x:c r="I15" s="99" t="str">
        <x:v>Late filing, data quality, missed obligation</x:v>
      </x:c>
      <x:c r="J15" s="99" t="str">
        <x:v>S02 T39,T76,T89; S10 home.ts; S11 pp.7-8</x:v>
      </x:c>
      <x:c r="K15" s="100" t="str">
        <x:v>Core offer/module</x:v>
      </x:c>
    </x:row>
    <x:row r="16" ht="48" customHeight="1">
      <x:c r="A16" s="98" t="str">
        <x:v>L11</x:v>
      </x:c>
      <x:c r="B16" s="99" t="str">
        <x:v>Permit Audit, Remediation &amp; Regularization</x:v>
      </x:c>
      <x:c r="C16" s="136" t="str">
        <x:v>A</x:v>
      </x:c>
      <x:c r="D16" s="99" t="str">
        <x:v>Lean Launch</x:v>
      </x:c>
      <x:c r="E16" s="183" t="n">
        <x:v>4</x:v>
      </x:c>
      <x:c r="F16" s="99" t="str">
        <x:v>High-ticket, scope-able, dan tidak harus menjanjikan approval</x:v>
      </x:c>
      <x:c r="G16" s="99" t="str">
        <x:v>Paid diagnostic dulu; evidence register; staged proposal; partner escalation</x:v>
      </x:c>
      <x:c r="H16" s="99" t="str">
        <x:v>Konsep didukung; scope final belum</x:v>
      </x:c>
      <x:c r="I16" s="99" t="str">
        <x:v>Hidden issues, disputed facts, reputational exposure</x:v>
      </x:c>
      <x:c r="J16" s="99" t="str">
        <x:v>S02 T38-T41,T50; S11 pp.7-8; S12 T12-13</x:v>
      </x:c>
      <x:c r="K16" s="100" t="str">
        <x:v>Core offer/module</x:v>
      </x:c>
    </x:row>
    <x:row r="17" ht="48" customHeight="1">
      <x:c r="A17" s="98" t="str">
        <x:v>L12</x:v>
      </x:c>
      <x:c r="B17" s="99" t="str">
        <x:v>Perpanjangan dan pembaruan izin</x:v>
      </x:c>
      <x:c r="C17" s="132" t="str">
        <x:v>B</x:v>
      </x:c>
      <x:c r="D17" s="99" t="str">
        <x:v>Controlled Growth</x:v>
      </x:c>
      <x:c r="E17" s="183" t="n">
        <x:v>3.83</x:v>
      </x:c>
      <x:c r="F17" s="99" t="str">
        <x:v>Layak sebagai modul retainer; bukan emergency service</x:v>
      </x:c>
      <x:c r="G17" s="99" t="str">
        <x:v>Cut-off dan no-rush policy; renewal calendar; client responsibility clause</x:v>
      </x:c>
      <x:c r="H17" s="99" t="str">
        <x:v>Detail scope belum tersedia</x:v>
      </x:c>
      <x:c r="I17" s="99" t="str">
        <x:v>Missed deadline, incomplete historical documents, complaints</x:v>
      </x:c>
      <x:c r="J17" s="99" t="str">
        <x:v>S02 T31,T39,T80; S11 p.8</x:v>
      </x:c>
      <x:c r="K17" s="100" t="str">
        <x:v>Supporting/gated</x:v>
      </x:c>
    </x:row>
    <x:row r="18" ht="48" customHeight="1">
      <x:c r="A18" s="98" t="str">
        <x:v>L13</x:v>
      </x:c>
      <x:c r="B18" s="99" t="str">
        <x:v>Pencabutan dan penutupan izin</x:v>
      </x:c>
      <x:c r="C18" s="134" t="str">
        <x:v>C</x:v>
      </x:c>
      <x:c r="D18" s="99" t="str">
        <x:v>Partner-Based</x:v>
      </x:c>
      <x:c r="E18" s="183" t="n">
        <x:v>3.27</x:v>
      </x:c>
      <x:c r="F18" s="99" t="str">
        <x:v>Tidak cukup kuat sebagai service line publik</x:v>
      </x:c>
      <x:c r="G18" s="99" t="str">
        <x:v>Case-by-case dengan legal/tax partner; exclusion jelas</x:v>
      </x:c>
      <x:c r="H18" s="99" t="str">
        <x:v>Belum didefinisikan</x:v>
      </x:c>
      <x:c r="I18" s="99" t="str">
        <x:v>Liability tail dan incomplete closure</x:v>
      </x:c>
      <x:c r="J18" s="99" t="str">
        <x:v>S02 T80; S11 p.3</x:v>
      </x:c>
      <x:c r="K18" s="100" t="str">
        <x:v>After partner gate</x:v>
      </x:c>
    </x:row>
    <x:row r="19" ht="48" customHeight="1">
      <x:c r="A19" s="98" t="str">
        <x:v>L14</x:v>
      </x:c>
      <x:c r="B19" s="99" t="str">
        <x:v>Annual Regulatory Care / Compliance Retainer</x:v>
      </x:c>
      <x:c r="C19" s="136" t="str">
        <x:v>A</x:v>
      </x:c>
      <x:c r="D19" s="99" t="str">
        <x:v>Lean Launch</x:v>
      </x:c>
      <x:c r="E19" s="183" t="n">
        <x:v>3.83</x:v>
      </x:c>
      <x:c r="F19" s="99" t="str">
        <x:v>Peluang terbesar yang disebut audit dan paling sesuai bisnis lean</x:v>
      </x:c>
      <x:c r="G19" s="99" t="str">
        <x:v>Tier scope; portfolio limit; named owner; alert and review SOP; no legal guarantee</x:v>
      </x:c>
      <x:c r="H19" s="99" t="str">
        <x:v>Opportunity; perlu MVP SOP dan pricing</x:v>
      </x:c>
      <x:c r="I19" s="99" t="str">
        <x:v>Missed obligations, scope creep, client data delays</x:v>
      </x:c>
      <x:c r="J19" s="99" t="str">
        <x:v>S02 T16-T17,T39,T54-T58; S03 T10-T11; S11 pp.2,7-8</x:v>
      </x:c>
      <x:c r="K19" s="100" t="str">
        <x:v>Core offer/module</x:v>
      </x:c>
    </x:row>
    <x:row r="20" ht="48" customHeight="1">
      <x:c r="A20" s="98" t="str">
        <x:v>L15</x:v>
      </x:c>
      <x:c r="B20" s="99" t="str">
        <x:v>Project &amp; Investment Permit Management</x:v>
      </x:c>
      <x:c r="C20" s="132" t="str">
        <x:v>B</x:v>
      </x:c>
      <x:c r="D20" s="99" t="str">
        <x:v>Controlled Growth</x:v>
      </x:c>
      <x:c r="E20" s="183" t="n">
        <x:v>3</x:v>
      </x:c>
      <x:c r="F20" s="99" t="str">
        <x:v>Bukan Grade A karena beban operasional; layak selektif setelah sistem terbukti</x:v>
      </x:c>
      <x:c r="G20" s="99" t="str">
        <x:v>Paid discovery; PMO scope; RACI; change control; partner contracts; realistic timeline</x:v>
      </x:c>
      <x:c r="H20" s="99" t="str">
        <x:v>Kategori disetujui; deliverables belum</x:v>
      </x:c>
      <x:c r="I20" s="99" t="str">
        <x:v>Delay, authority dependency, change order, blame transfer</x:v>
      </x:c>
      <x:c r="J20" s="99" t="str">
        <x:v>S02 T14,T38,T50; S03 T10-T11; S11 pp.7-8; S12 T12-13</x:v>
      </x:c>
      <x:c r="K20" s="100" t="str">
        <x:v>Supporting/gated</x:v>
      </x:c>
    </x:row>
    <x:row r="21" ht="48" customHeight="1">
      <x:c r="A21" s="98" t="str">
        <x:v>L16</x:v>
      </x:c>
      <x:c r="B21" s="99" t="str">
        <x:v>KKPR dan persetujuan lokasi</x:v>
      </x:c>
      <x:c r="C21" s="132" t="str">
        <x:v>B</x:v>
      </x:c>
      <x:c r="D21" s="99" t="str">
        <x:v>Partner-Based</x:v>
      </x:c>
      <x:c r="E21" s="183" t="n">
        <x:v>3</x:v>
      </x:c>
      <x:c r="F21" s="99" t="str">
        <x:v>High value tetapi tidak cocok dieksekusi in-house pada lean launch</x:v>
      </x:c>
      <x:c r="G21" s="99" t="str">
        <x:v>Technical partner, area coverage, document protocol, authority disclaimer</x:v>
      </x:c>
      <x:c r="H21" s="99" t="str">
        <x:v>Prototype; supporting audit only</x:v>
      </x:c>
      <x:c r="I21" s="99" t="str">
        <x:v>Location rejection, data/spatial mismatch, delays</x:v>
      </x:c>
      <x:c r="J21" s="99" t="str">
        <x:v>S10 home.ts; S11 pp.7-8</x:v>
      </x:c>
      <x:c r="K21" s="100" t="str">
        <x:v>After partner gate</x:v>
      </x:c>
    </x:row>
    <x:row r="22" ht="48" customHeight="1">
      <x:c r="A22" s="98" t="str">
        <x:v>L17</x:v>
      </x:c>
      <x:c r="B22" s="99" t="str">
        <x:v>Pertanahan dan land due-diligence perizinan</x:v>
      </x:c>
      <x:c r="C22" s="134" t="str">
        <x:v>C</x:v>
      </x:c>
      <x:c r="D22" s="99" t="str">
        <x:v>Partner-Based</x:v>
      </x:c>
      <x:c r="E22" s="183" t="n">
        <x:v>2.85</x:v>
      </x:c>
      <x:c r="F22" s="99" t="str">
        <x:v>High-ticket tetapi tidak sesuai tim kecil tanpa expert bench</x:v>
      </x:c>
      <x:c r="G22" s="99" t="str">
        <x:v>Eksekusi hanya partner specialist; G&amp;P sebagai front-end/PM; opinion boundaries</x:v>
      </x:c>
      <x:c r="H22" s="99" t="str">
        <x:v>Opportunity audit; belum approved</x:v>
      </x:c>
      <x:c r="I22" s="99" t="str">
        <x:v>Title disputes, incomplete records, reputational/legal risk</x:v>
      </x:c>
      <x:c r="J22" s="99" t="str">
        <x:v>S03 T11; S11 p.7</x:v>
      </x:c>
      <x:c r="K22" s="100" t="str">
        <x:v>After partner gate</x:v>
      </x:c>
    </x:row>
    <x:row r="23" ht="48" customHeight="1">
      <x:c r="A23" s="98" t="str">
        <x:v>L18</x:v>
      </x:c>
      <x:c r="B23" s="99" t="str">
        <x:v>Persetujuan lingkungan</x:v>
      </x:c>
      <x:c r="C23" s="132" t="str">
        <x:v>B</x:v>
      </x:c>
      <x:c r="D23" s="99" t="str">
        <x:v>Partner-Based</x:v>
      </x:c>
      <x:c r="E23" s="183" t="n">
        <x:v>3</x:v>
      </x:c>
      <x:c r="F23" s="99" t="str">
        <x:v>B hanya melalui partner; AMDAL kompleks dapat diperlakukan C per kasus</x:v>
      </x:c>
      <x:c r="G23" s="99" t="str">
        <x:v>Partner kompeten; QA evidence; level izin jelas; no universal scope</x:v>
      </x:c>
      <x:c r="H23" s="99" t="str">
        <x:v>Prototype; website menyebut ahli</x:v>
      </x:c>
      <x:c r="I23" s="99" t="str">
        <x:v>Delay, technical error, public/stakeholder issue</x:v>
      </x:c>
      <x:c r="J23" s="99" t="str">
        <x:v>S10 home.ts; S11 pp.7-8</x:v>
      </x:c>
      <x:c r="K23" s="100" t="str">
        <x:v>After partner gate</x:v>
      </x:c>
    </x:row>
    <x:row r="24" ht="48" customHeight="1">
      <x:c r="A24" s="98" t="str">
        <x:v>L19</x:v>
      </x:c>
      <x:c r="B24" s="99" t="str">
        <x:v>PBG dan SLF</x:v>
      </x:c>
      <x:c r="C24" s="132" t="str">
        <x:v>B</x:v>
      </x:c>
      <x:c r="D24" s="99" t="str">
        <x:v>Partner-Based</x:v>
      </x:c>
      <x:c r="E24" s="183" t="n">
        <x:v>3</x:v>
      </x:c>
      <x:c r="F24" s="99" t="str">
        <x:v>Layak sebagai module project, tidak sebagai in-house core</x:v>
      </x:c>
      <x:c r="G24" s="99" t="str">
        <x:v>Local technical partner; site intake; exclusions; stage gates</x:v>
      </x:c>
      <x:c r="H24" s="99" t="str">
        <x:v>Prototype</x:v>
      </x:c>
      <x:c r="I24" s="99" t="str">
        <x:v>Delay, technical non-conformance, complaint</x:v>
      </x:c>
      <x:c r="J24" s="99" t="str">
        <x:v>S10 home.ts; S11 pp.7-8</x:v>
      </x:c>
      <x:c r="K24" s="100" t="str">
        <x:v>After partner gate</x:v>
      </x:c>
    </x:row>
    <x:row r="25" ht="48" customHeight="1">
      <x:c r="A25" s="98" t="str">
        <x:v>L20</x:v>
      </x:c>
      <x:c r="B25" s="99" t="str">
        <x:v>Perizinan industri dan manufaktur</x:v>
      </x:c>
      <x:c r="C25" s="132" t="str">
        <x:v>B</x:v>
      </x:c>
      <x:c r="D25" s="99" t="str">
        <x:v>Controlled Growth</x:v>
      </x:c>
      <x:c r="E25" s="183" t="n">
        <x:v>3</x:v>
      </x:c>
      <x:c r="F25" s="99" t="str">
        <x:v>Menarik sebagai growth vertical, bukan lean launch universal</x:v>
      </x:c>
      <x:c r="G25" s="99" t="str">
        <x:v>Pilih satu vertical/geography; partner bench; PMO; evidence; WIP cap</x:v>
      </x:c>
      <x:c r="H25" s="99" t="str">
        <x:v>Prototype; capability proof belum</x:v>
      </x:c>
      <x:c r="I25" s="99" t="str">
        <x:v>Schedule/reputation exposure dan client blame</x:v>
      </x:c>
      <x:c r="J25" s="99" t="str">
        <x:v>S10 home.ts; S11 pp.7-8</x:v>
      </x:c>
      <x:c r="K25" s="100" t="str">
        <x:v>Supporting/gated</x:v>
      </x:c>
    </x:row>
    <x:row r="26" ht="48" customHeight="1">
      <x:c r="A26" s="98" t="str">
        <x:v>L21</x:v>
      </x:c>
      <x:c r="B26" s="99" t="str">
        <x:v>Construction Tender-Ready</x:v>
      </x:c>
      <x:c r="C26" s="132" t="str">
        <x:v>B</x:v>
      </x:c>
      <x:c r="D26" s="99" t="str">
        <x:v>Experimental</x:v>
      </x:c>
      <x:c r="E26" s="183" t="n">
        <x:v>2.85</x:v>
      </x:c>
      <x:c r="F26" s="99" t="str">
        <x:v>Potensial tetapi tidak ada bukti kompetensi internal</x:v>
      </x:c>
      <x:c r="G26" s="99" t="str">
        <x:v>Partner specialist; cut-off; document responsibility; pilot cases</x:v>
      </x:c>
      <x:c r="H26" s="99" t="str">
        <x:v>Opportunity audit</x:v>
      </x:c>
      <x:c r="I26" s="99" t="str">
        <x:v>Disqualification, timeline pressure, scope creep</x:v>
      </x:c>
      <x:c r="J26" s="99" t="str">
        <x:v>S10 home.ts; S11 pp.5,8</x:v>
      </x:c>
      <x:c r="K26" s="100" t="str">
        <x:v>Do not publish</x:v>
      </x:c>
    </x:row>
    <x:row r="27" ht="48" customHeight="1">
      <x:c r="A27" s="98" t="str">
        <x:v>L22</x:v>
      </x:c>
      <x:c r="B27" s="99" t="str">
        <x:v>Perizinan perdagangan dan distribusi</x:v>
      </x:c>
      <x:c r="C27" s="134" t="str">
        <x:v>C</x:v>
      </x:c>
      <x:c r="D27" s="99" t="str">
        <x:v>Ditunda</x:v>
      </x:c>
      <x:c r="E27" s="183" t="n">
        <x:v>3.27</x:v>
      </x:c>
      <x:c r="F27" s="99" t="str">
        <x:v>Tidak cukup spesifik untuk high-ticket headline</x:v>
      </x:c>
      <x:c r="G27" s="99" t="str">
        <x:v>Hanya paket sektor tertentu setelah validation</x:v>
      </x:c>
      <x:c r="H27" s="99" t="str">
        <x:v>Prototype</x:v>
      </x:c>
      <x:c r="I27" s="99" t="str">
        <x:v>Long-tail scope dan regulatory variance</x:v>
      </x:c>
      <x:c r="J27" s="99" t="str">
        <x:v>S10 home.ts; S11 pp.4-5</x:v>
      </x:c>
      <x:c r="K27" s="100" t="str">
        <x:v>Hidden</x:v>
      </x:c>
    </x:row>
    <x:row r="28" ht="48" customHeight="1">
      <x:c r="A28" s="98" t="str">
        <x:v>L23</x:v>
      </x:c>
      <x:c r="B28" s="99" t="str">
        <x:v>Perizinan ekspor-impor</x:v>
      </x:c>
      <x:c r="C28" s="132" t="str">
        <x:v>B</x:v>
      </x:c>
      <x:c r="D28" s="99" t="str">
        <x:v>Controlled Growth</x:v>
      </x:c>
      <x:c r="E28" s="183" t="n">
        <x:v>3.4</x:v>
      </x:c>
      <x:c r="F28" s="99" t="str">
        <x:v>B selektif; perlu vertical validation</x:v>
      </x:c>
      <x:c r="G28" s="99" t="str">
        <x:v>Batasi komoditas; customs/trade partner; no shipment guarantee</x:v>
      </x:c>
      <x:c r="H28" s="99" t="str">
        <x:v>Opportunity audit</x:v>
      </x:c>
      <x:c r="I28" s="99" t="str">
        <x:v>Shipment delay, changing rules, incorrect classification</x:v>
      </x:c>
      <x:c r="J28" s="99" t="str">
        <x:v>S11 pp.5-6</x:v>
      </x:c>
      <x:c r="K28" s="100" t="str">
        <x:v>Supporting/gated</x:v>
      </x:c>
    </x:row>
    <x:row r="29" ht="48" customHeight="1">
      <x:c r="A29" s="98" t="str">
        <x:v>L24</x:v>
      </x:c>
      <x:c r="B29" s="99" t="str">
        <x:v>Digital Platform Legal-Ready</x:v>
      </x:c>
      <x:c r="C29" s="132" t="str">
        <x:v>B</x:v>
      </x:c>
      <x:c r="D29" s="99" t="str">
        <x:v>Experimental</x:v>
      </x:c>
      <x:c r="E29" s="183" t="n">
        <x:v>2.85</x:v>
      </x:c>
      <x:c r="F29" s="99" t="str">
        <x:v>Strategic adjacency kuat tetapi belum core dan proof belum ada</x:v>
      </x:c>
      <x:c r="G29" s="99" t="str">
        <x:v>Qualified counsel; clear screen vs opinion; one vertical pilot</x:v>
      </x:c>
      <x:c r="H29" s="99" t="str">
        <x:v>Package opportunity; belum approved</x:v>
      </x:c>
      <x:c r="I29" s="99" t="str">
        <x:v>Advice liability, privacy incident, regulated activity misclassification</x:v>
      </x:c>
      <x:c r="J29" s="99" t="str">
        <x:v>S11 pp.7-8</x:v>
      </x:c>
      <x:c r="K29" s="100" t="str">
        <x:v>Do not publish</x:v>
      </x:c>
    </x:row>
    <x:row r="30" ht="48" customHeight="1">
      <x:c r="A30" s="98" t="str">
        <x:v>L25</x:v>
      </x:c>
      <x:c r="B30" s="99" t="str">
        <x:v>F&amp;B Market-Ready package</x:v>
      </x:c>
      <x:c r="C30" s="132" t="str">
        <x:v>B</x:v>
      </x:c>
      <x:c r="D30" s="99" t="str">
        <x:v>Experimental</x:v>
      </x:c>
      <x:c r="E30" s="183" t="n">
        <x:v>3.4</x:v>
      </x:c>
      <x:c r="F30" s="99" t="str">
        <x:v>Package lebih menarik daripada menjual komponen standalone</x:v>
      </x:c>
      <x:c r="G30" s="99" t="str">
        <x:v>One product class pilot; BPOM/halal partners; intake checklist</x:v>
      </x:c>
      <x:c r="H30" s="99" t="str">
        <x:v>Package opportunity; belum approved</x:v>
      </x:c>
      <x:c r="I30" s="99" t="str">
        <x:v>Label/formula changes, inspection, partner delays</x:v>
      </x:c>
      <x:c r="J30" s="99" t="str">
        <x:v>S11 pp.4,8</x:v>
      </x:c>
      <x:c r="K30" s="100" t="str">
        <x:v>Do not publish</x:v>
      </x:c>
    </x:row>
    <x:row r="31" ht="48" customHeight="1">
      <x:c r="A31" s="98" t="str">
        <x:v>L26</x:v>
      </x:c>
      <x:c r="B31" s="99" t="str">
        <x:v>SPP-IRT standalone</x:v>
      </x:c>
      <x:c r="C31" s="134" t="str">
        <x:v>C</x:v>
      </x:c>
      <x:c r="D31" s="99" t="str">
        <x:v>Dieliminasi</x:v>
      </x:c>
      <x:c r="E31" s="183" t="n">
        <x:v>3.44</x:v>
      </x:c>
      <x:c r="F31" s="99" t="str">
        <x:v>Beban operasional/konten tidak sebanding nilai</x:v>
      </x:c>
      <x:c r="G31" s="99" t="str">
        <x:v>Hanya melalui partner atau bundle F&amp;B</x:v>
      </x:c>
      <x:c r="H31" s="99" t="str">
        <x:v>Hanya audit kompetitor</x:v>
      </x:c>
      <x:c r="I31" s="99" t="str">
        <x:v>Price shopping dan volume support</x:v>
      </x:c>
      <x:c r="J31" s="99" t="str">
        <x:v>S11 pp.4,6</x:v>
      </x:c>
      <x:c r="K31" s="100" t="str">
        <x:v>Remove standalone</x:v>
      </x:c>
    </x:row>
    <x:row r="32" ht="48" customHeight="1">
      <x:c r="A32" s="98" t="str">
        <x:v>L27</x:v>
      </x:c>
      <x:c r="B32" s="99" t="str">
        <x:v>BPOM advanced</x:v>
      </x:c>
      <x:c r="C32" s="132" t="str">
        <x:v>B</x:v>
      </x:c>
      <x:c r="D32" s="99" t="str">
        <x:v>Partner-Based</x:v>
      </x:c>
      <x:c r="E32" s="183" t="n">
        <x:v>2.85</x:v>
      </x:c>
      <x:c r="F32" s="99" t="str">
        <x:v>B melalui partner; bukan capability internal yang terbukti</x:v>
      </x:c>
      <x:c r="G32" s="99" t="str">
        <x:v>BPOM specialist partner; dossier QA; defined product classes</x:v>
      </x:c>
      <x:c r="H32" s="99" t="str">
        <x:v>Opportunity audit</x:v>
      </x:c>
      <x:c r="I32" s="99" t="str">
        <x:v>Rejection/delay, technical errors, reputational exposure</x:v>
      </x:c>
      <x:c r="J32" s="99" t="str">
        <x:v>S11 pp.4,7-8</x:v>
      </x:c>
      <x:c r="K32" s="100" t="str">
        <x:v>After partner gate</x:v>
      </x:c>
    </x:row>
    <x:row r="33" ht="48" customHeight="1">
      <x:c r="A33" s="98" t="str">
        <x:v>L28</x:v>
      </x:c>
      <x:c r="B33" s="99" t="str">
        <x:v>Sertifikasi halal standalone</x:v>
      </x:c>
      <x:c r="C33" s="134" t="str">
        <x:v>C</x:v>
      </x:c>
      <x:c r="D33" s="99" t="str">
        <x:v>Dieliminasi</x:v>
      </x:c>
      <x:c r="E33" s="183" t="n">
        <x:v>3.44</x:v>
      </x:c>
      <x:c r="F33" s="99" t="str">
        <x:v>Tidak cocok sebagai core high-ticket</x:v>
      </x:c>
      <x:c r="G33" s="99" t="str">
        <x:v>Bundle atau partner only</x:v>
      </x:c>
      <x:c r="H33" s="99" t="str">
        <x:v>Hanya audit kompetitor</x:v>
      </x:c>
      <x:c r="I33" s="99" t="str">
        <x:v>Authority/inspection delays dan scope assumptions</x:v>
      </x:c>
      <x:c r="J33" s="99" t="str">
        <x:v>S11 pp.4,6</x:v>
      </x:c>
      <x:c r="K33" s="100" t="str">
        <x:v>Remove standalone</x:v>
      </x:c>
    </x:row>
    <x:row r="34" ht="48" customHeight="1">
      <x:c r="A34" s="98" t="str">
        <x:v>L29</x:v>
      </x:c>
      <x:c r="B34" s="99" t="str">
        <x:v>SNI dan sertifikasi produk</x:v>
      </x:c>
      <x:c r="C34" s="134" t="str">
        <x:v>C</x:v>
      </x:c>
      <x:c r="D34" s="99" t="str">
        <x:v>Partner-Based</x:v>
      </x:c>
      <x:c r="E34" s="183" t="n">
        <x:v>2.85</x:v>
      </x:c>
      <x:c r="F34" s="99" t="str">
        <x:v>Tidak ada bukti capability; conditional only</x:v>
      </x:c>
      <x:c r="G34" s="99" t="str">
        <x:v>Per product class specialist; paid diagnostic</x:v>
      </x:c>
      <x:c r="H34" s="99" t="str">
        <x:v>Opportunity audit</x:v>
      </x:c>
      <x:c r="I34" s="99" t="str">
        <x:v>Test failure, delay, cost escalation</x:v>
      </x:c>
      <x:c r="J34" s="99" t="str">
        <x:v>S11 pp.4,6</x:v>
      </x:c>
      <x:c r="K34" s="100" t="str">
        <x:v>After partner gate</x:v>
      </x:c>
    </x:row>
    <x:row r="35" ht="48" customHeight="1">
      <x:c r="A35" s="98" t="str">
        <x:v>L30</x:v>
      </x:c>
      <x:c r="B35" s="99" t="str">
        <x:v>Healthcare Market Access</x:v>
      </x:c>
      <x:c r="C35" s="134" t="str">
        <x:v>C</x:v>
      </x:c>
      <x:c r="D35" s="99" t="str">
        <x:v>Ditunda</x:v>
      </x:c>
      <x:c r="E35" s="183" t="n">
        <x:v>2.85</x:v>
      </x:c>
      <x:c r="F35" s="99" t="str">
        <x:v>Attractive economically but incompatible with current unproven capability</x:v>
      </x:c>
      <x:c r="G35" s="99" t="str">
        <x:v>Dedicated qualified expert team and sector proof before publication</x:v>
      </x:c>
      <x:c r="H35" s="99" t="str">
        <x:v>Opportunity audit; no proof</x:v>
      </x:c>
      <x:c r="I35" s="99" t="str">
        <x:v>Patient/public safety, sanctions, audit failure</x:v>
      </x:c>
      <x:c r="J35" s="99" t="str">
        <x:v>S11 pp.5,7-8</x:v>
      </x:c>
      <x:c r="K35" s="100" t="str">
        <x:v>Hidden</x:v>
      </x:c>
    </x:row>
    <x:row r="36" ht="48" customHeight="1">
      <x:c r="A36" s="98" t="str">
        <x:v>L31</x:v>
      </x:c>
      <x:c r="B36" s="99" t="str">
        <x:v>OJK/BI regulated licensing</x:v>
      </x:c>
      <x:c r="C36" s="134" t="str">
        <x:v>C</x:v>
      </x:c>
      <x:c r="D36" s="99" t="str">
        <x:v>Ditunda</x:v>
      </x:c>
      <x:c r="E36" s="183" t="n">
        <x:v>2.85</x:v>
      </x:c>
      <x:c r="F36" s="99" t="str">
        <x:v>Do not publish before capability proof and approval</x:v>
      </x:c>
      <x:c r="G36" s="99" t="str">
        <x:v>Named qualified experts, cases, governance, and insurance as relevant</x:v>
      </x:c>
      <x:c r="H36" s="99" t="str">
        <x:v>Opportunity audit; no proof</x:v>
      </x:c>
      <x:c r="I36" s="99" t="str">
        <x:v>Regulatory breach and high liability</x:v>
      </x:c>
      <x:c r="J36" s="99" t="str">
        <x:v>S11 pp.2,7</x:v>
      </x:c>
      <x:c r="K36" s="100" t="str">
        <x:v>Hidden</x:v>
      </x:c>
    </x:row>
    <x:row r="37" ht="48" customHeight="1">
      <x:c r="A37" s="98" t="str">
        <x:v>L32</x:v>
      </x:c>
      <x:c r="B37" s="99" t="str">
        <x:v>Pertambangan dan energi</x:v>
      </x:c>
      <x:c r="C37" s="134" t="str">
        <x:v>C</x:v>
      </x:c>
      <x:c r="D37" s="99" t="str">
        <x:v>Ditunda</x:v>
      </x:c>
      <x:c r="E37" s="183" t="n">
        <x:v>2.85</x:v>
      </x:c>
      <x:c r="F37" s="99" t="str">
        <x:v>Not viable for lean launch despite transaction value</x:v>
      </x:c>
      <x:c r="G37" s="99" t="str">
        <x:v>Dedicated vertical team, partner bench, cases, and WIP governance</x:v>
      </x:c>
      <x:c r="H37" s="99" t="str">
        <x:v>Opportunity audit; no proof</x:v>
      </x:c>
      <x:c r="I37" s="99" t="str">
        <x:v>Severe delay/reputation/compliance exposure</x:v>
      </x:c>
      <x:c r="J37" s="99" t="str">
        <x:v>S11 pp.2,7</x:v>
      </x:c>
      <x:c r="K37" s="100" t="str">
        <x:v>Hidden</x:v>
      </x:c>
    </x:row>
    <x:row r="38" ht="48" customHeight="1">
      <x:c r="A38" s="98" t="str">
        <x:v>L33</x:v>
      </x:c>
      <x:c r="B38" s="99" t="str">
        <x:v>Pertanian, perikanan, dan kehutanan</x:v>
      </x:c>
      <x:c r="C38" s="134" t="str">
        <x:v>C</x:v>
      </x:c>
      <x:c r="D38" s="99" t="str">
        <x:v>Ditunda</x:v>
      </x:c>
      <x:c r="E38" s="183" t="n">
        <x:v>2.85</x:v>
      </x:c>
      <x:c r="F38" s="99" t="str">
        <x:v>No evidence to prioritize over better-supported opportunities</x:v>
      </x:c>
      <x:c r="G38" s="99" t="str">
        <x:v>Only after a validated niche and specialist partner</x:v>
      </x:c>
      <x:c r="H38" s="99" t="str">
        <x:v>Opportunity audit</x:v>
      </x:c>
      <x:c r="I38" s="99" t="str">
        <x:v>Fieldwork, regional variance, authority dependency</x:v>
      </x:c>
      <x:c r="J38" s="99" t="str">
        <x:v>S11 p.7</x:v>
      </x:c>
      <x:c r="K38" s="100" t="str">
        <x:v>Hidden</x:v>
      </x:c>
    </x:row>
    <x:row r="39" ht="48" customHeight="1">
      <x:c r="A39" s="98" t="str">
        <x:v>L34</x:v>
      </x:c>
      <x:c r="B39" s="99" t="str">
        <x:v>Transportasi dan logistik advanced</x:v>
      </x:c>
      <x:c r="C39" s="134" t="str">
        <x:v>C</x:v>
      </x:c>
      <x:c r="D39" s="99" t="str">
        <x:v>Ditunda</x:v>
      </x:c>
      <x:c r="E39" s="183" t="n">
        <x:v>2.85</x:v>
      </x:c>
      <x:c r="F39" s="99" t="str">
        <x:v>Too broad and unvalidated</x:v>
      </x:c>
      <x:c r="G39" s="99" t="str">
        <x:v>Choose exact sub-sector and partner before offer</x:v>
      </x:c>
      <x:c r="H39" s="99" t="str">
        <x:v>Opportunity audit</x:v>
      </x:c>
      <x:c r="I39" s="99" t="str">
        <x:v>Safety/reputation and regulatory change</x:v>
      </x:c>
      <x:c r="J39" s="99" t="str">
        <x:v>S11 p.7</x:v>
      </x:c>
      <x:c r="K39" s="100" t="str">
        <x:v>Hidden</x:v>
      </x:c>
    </x:row>
    <x:row r="40" ht="48" customHeight="1">
      <x:c r="A40" s="98" t="str">
        <x:v>L35</x:v>
      </x:c>
      <x:c r="B40" s="99" t="str">
        <x:v>Merek dan HAKI</x:v>
      </x:c>
      <x:c r="C40" s="134" t="str">
        <x:v>C</x:v>
      </x:c>
      <x:c r="D40" s="99" t="str">
        <x:v>Partner-Based</x:v>
      </x:c>
      <x:c r="E40" s="183" t="n">
        <x:v>3.44</x:v>
      </x:c>
      <x:c r="F40" s="99" t="str">
        <x:v>Supporting module, not high-ticket core</x:v>
      </x:c>
      <x:c r="G40" s="99" t="str">
        <x:v>Partner or bundle only; no outcome guarantee</x:v>
      </x:c>
      <x:c r="H40" s="99" t="str">
        <x:v>Prototype</x:v>
      </x:c>
      <x:c r="I40" s="99" t="str">
        <x:v>Opposition/rejection and expectation mismatch</x:v>
      </x:c>
      <x:c r="J40" s="99" t="str">
        <x:v>S10 home.ts; S11 pp.3-4</x:v>
      </x:c>
      <x:c r="K40" s="100" t="str">
        <x:v>After partner gate</x:v>
      </x:c>
    </x:row>
    <x:row r="41" ht="48" customHeight="1">
      <x:c r="A41" s="98" t="str">
        <x:v>L36</x:v>
      </x:c>
      <x:c r="B41" s="99" t="str">
        <x:v>Dokumen legal dan kontrak pendukung</x:v>
      </x:c>
      <x:c r="C41" s="132" t="str">
        <x:v>B</x:v>
      </x:c>
      <x:c r="D41" s="99" t="str">
        <x:v>Partner-Based</x:v>
      </x:c>
      <x:c r="E41" s="183" t="n">
        <x:v>3.27</x:v>
      </x:c>
      <x:c r="F41" s="99" t="str">
        <x:v>Useful support, not a separate top-level pillar</x:v>
      </x:c>
      <x:c r="G41" s="99" t="str">
        <x:v>Only contextual to permit project; qualified legal reviewer; explicit exclusions</x:v>
      </x:c>
      <x:c r="H41" s="99" t="str">
        <x:v>Support concept; details unapproved</x:v>
      </x:c>
      <x:c r="I41" s="99" t="str">
        <x:v>Unauthorized/unqualified advice, scope creep</x:v>
      </x:c>
      <x:c r="J41" s="99" t="str">
        <x:v>S03 T7; S11 p.3</x:v>
      </x:c>
      <x:c r="K41" s="100" t="str">
        <x:v>After partner gate</x:v>
      </x:c>
    </x:row>
    <x:row r="42" ht="48" customHeight="1">
      <x:c r="A42" s="98" t="str">
        <x:v>L37</x:v>
      </x:c>
      <x:c r="B42" s="99" t="str">
        <x:v>Administrasi pajak dasar</x:v>
      </x:c>
      <x:c r="C42" s="134" t="str">
        <x:v>C</x:v>
      </x:c>
      <x:c r="D42" s="99" t="str">
        <x:v>Dieliminasi</x:v>
      </x:c>
      <x:c r="E42" s="183" t="n">
        <x:v>3.44</x:v>
      </x:c>
      <x:c r="F42" s="99" t="str">
        <x:v>No evidence of strategic advantage</x:v>
      </x:c>
      <x:c r="G42" s="99" t="str">
        <x:v>Refer/partner only</x:v>
      </x:c>
      <x:c r="H42" s="99" t="str">
        <x:v>Audit competitor only</x:v>
      </x:c>
      <x:c r="I42" s="99" t="str">
        <x:v>Scope drift and specialist dependency</x:v>
      </x:c>
      <x:c r="J42" s="99" t="str">
        <x:v>S11 p.3</x:v>
      </x:c>
      <x:c r="K42" s="100" t="str">
        <x:v>Remove standalone</x:v>
      </x:c>
    </x:row>
    <x:row r="43" ht="48" customHeight="1">
      <x:c r="A43" s="98" t="str">
        <x:v>L38</x:v>
      </x:c>
      <x:c r="B43" s="99" t="str">
        <x:v>Virtual office dan administrasi umum</x:v>
      </x:c>
      <x:c r="C43" s="134" t="str">
        <x:v>C</x:v>
      </x:c>
      <x:c r="D43" s="99" t="str">
        <x:v>Dieliminasi</x:v>
      </x:c>
      <x:c r="E43" s="183" t="n">
        <x:v>3.44</x:v>
      </x:c>
      <x:c r="F43" s="99" t="str">
        <x:v>Directly conflicts with lean high-ticket objective</x:v>
      </x:c>
      <x:c r="G43" s="99" t="str">
        <x:v>Referral only; never headline</x:v>
      </x:c>
      <x:c r="H43" s="99" t="str">
        <x:v>Audit competitor only</x:v>
      </x:c>
      <x:c r="I43" s="99" t="str">
        <x:v>Vendor complaints and brand dilution</x:v>
      </x:c>
      <x:c r="J43" s="99" t="str">
        <x:v>S11 pp.2-3</x:v>
      </x:c>
      <x:c r="K43" s="100" t="str">
        <x:v>Remove standalone</x:v>
      </x:c>
    </x:row>
    <x:row r="44" ht="48" customHeight="1">
      <x:c r="A44" s="101" t="str">
        <x:v>L39</x:v>
      </x:c>
      <x:c r="B44" s="102" t="str">
        <x:v>Perizinan UMKM/jasa lain yang tidak terkurasi</x:v>
      </x:c>
      <x:c r="C44" s="138" t="str">
        <x:v>C</x:v>
      </x:c>
      <x:c r="D44" s="102" t="str">
        <x:v>Dieliminasi</x:v>
      </x:c>
      <x:c r="E44" s="184" t="n">
        <x:v>3.44</x:v>
      </x:c>
      <x:c r="F44" s="102" t="str">
        <x:v>Website completeness would create disproportionate operating debt</x:v>
      </x:c>
      <x:c r="G44" s="102" t="str">
        <x:v>Do not offer generically; accept only if mapped to approved category and capability</x:v>
      </x:c>
      <x:c r="H44" s="102" t="str">
        <x:v>Not approved</x:v>
      </x:c>
      <x:c r="I44" s="102" t="str">
        <x:v>Overclaim, unqualified inquiries, maintenance failure</x:v>
      </x:c>
      <x:c r="J44" s="102" t="str">
        <x:v>S11 p.5; S12 paras 146-159</x:v>
      </x:c>
      <x:c r="K44" s="103" t="str">
        <x:v>Remove standalone</x:v>
      </x:c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4" hidden="0" customWidth="1"/>
    <x:col min="4" max="4" width="42" hidden="0" customWidth="1"/>
    <x:col min="5" max="5" width="24" hidden="0" customWidth="1"/>
    <x:col min="6" max="6" width="24" hidden="0" customWidth="1"/>
    <x:col min="7" max="7" width="32" hidden="0" customWidth="1"/>
    <x:col min="8" max="8" width="24" hidden="0" customWidth="1"/>
    <x:col min="9" max="9" width="24" hidden="0" customWidth="1"/>
    <x:col min="10" max="10" width="26" hidden="0" customWidth="1"/>
    <x:col min="11" max="11" width="12" hidden="0" customWidth="1"/>
    <x:col min="12" max="12" width="28" hidden="0" customWidth="1"/>
    <x:col min="13" max="13" width="28" hidden="0" customWidth="1"/>
  </x:cols>
  <x:sheetData>
    <x:row r="1" ht="34" customHeight="1">
      <x:c r="A1" s="4" t="str">
        <x:v>Permit Type Map</x:v>
      </x:c>
      <x:c r="B1" s="4" t="str">
        <x:v>Permit Type Map</x:v>
      </x:c>
      <x:c r="C1" s="4" t="str">
        <x:v>Permit Type Map</x:v>
      </x:c>
      <x:c r="D1" s="4" t="str">
        <x:v>Permit Type Map</x:v>
      </x:c>
      <x:c r="E1" s="4" t="str">
        <x:v>Permit Type Map</x:v>
      </x:c>
      <x:c r="F1" s="4" t="str">
        <x:v>Permit Type Map</x:v>
      </x:c>
      <x:c r="G1" s="4" t="str">
        <x:v>Permit Type Map</x:v>
      </x:c>
      <x:c r="H1" s="4" t="str">
        <x:v>Permit Type Map</x:v>
      </x:c>
      <x:c r="I1" s="4" t="str">
        <x:v>Permit Type Map</x:v>
      </x:c>
      <x:c r="J1" s="4" t="str">
        <x:v>Permit Type Map</x:v>
      </x:c>
      <x:c r="K1" s="4" t="str">
        <x:v>Permit Type Map</x:v>
      </x:c>
      <x:c r="L1" s="4" t="str">
        <x:v>Permit Type Map</x:v>
      </x:c>
      <x:c r="M1" s="4" t="str">
        <x:v>Permit Type Map</x:v>
      </x:c>
    </x:row>
    <x:row r="2" ht="28" customHeight="1">
      <x:c r="A2" s="7" t="str">
        <x:v>Target, value, complexity, expertise, content, and time fit.</x:v>
      </x:c>
      <x:c r="B2" s="7" t="str">
        <x:v>Target, value, complexity, expertise, content, and time fit.</x:v>
      </x:c>
      <x:c r="C2" s="7" t="str">
        <x:v>Target, value, complexity, expertise, content, and time fit.</x:v>
      </x:c>
      <x:c r="D2" s="7" t="str">
        <x:v>Target, value, complexity, expertise, content, and time fit.</x:v>
      </x:c>
      <x:c r="E2" s="7" t="str">
        <x:v>Target, value, complexity, expertise, content, and time fit.</x:v>
      </x:c>
      <x:c r="F2" s="7" t="str">
        <x:v>Target, value, complexity, expertise, content, and time fit.</x:v>
      </x:c>
      <x:c r="G2" s="7" t="str">
        <x:v>Target, value, complexity, expertise, content, and time fit.</x:v>
      </x:c>
      <x:c r="H2" s="7" t="str">
        <x:v>Target, value, complexity, expertise, content, and time fit.</x:v>
      </x:c>
      <x:c r="I2" s="7" t="str">
        <x:v>Target, value, complexity, expertise, content, and time fit.</x:v>
      </x:c>
      <x:c r="J2" s="7" t="str">
        <x:v>Target, value, complexity, expertise, content, and time fit.</x:v>
      </x:c>
      <x:c r="K2" s="7" t="str">
        <x:v>Target, value, complexity, expertise, content, and time fit.</x:v>
      </x:c>
      <x:c r="L2" s="7" t="str">
        <x:v>Target, value, complexity, expertise, content, and time fit.</x:v>
      </x:c>
      <x:c r="M2" s="7" t="str">
        <x:v>Target, value, complexity, expertise, content, and time fit.</x:v>
      </x:c>
    </x:row>
    <x:row r="3" ht="30" customHeight="1">
      <x:c r="A3" s="10" t="str">
        <x:v>Employment licensing was not found as a supported service family.</x:v>
      </x:c>
      <x:c r="B3" s="10" t="str">
        <x:v>Employment licensing was not found as a supported service family.</x:v>
      </x:c>
      <x:c r="C3" s="10" t="str">
        <x:v>Employment licensing was not found as a supported service family.</x:v>
      </x:c>
      <x:c r="D3" s="10" t="str">
        <x:v>Employment licensing was not found as a supported service family.</x:v>
      </x:c>
      <x:c r="E3" s="10" t="str">
        <x:v>Employment licensing was not found as a supported service family.</x:v>
      </x:c>
      <x:c r="F3" s="10" t="str">
        <x:v>Employment licensing was not found as a supported service family.</x:v>
      </x:c>
      <x:c r="G3" s="10" t="str">
        <x:v>Employment licensing was not found as a supported service family.</x:v>
      </x:c>
      <x:c r="H3" s="10" t="str">
        <x:v>Employment licensing was not found as a supported service family.</x:v>
      </x:c>
      <x:c r="I3" s="10" t="str">
        <x:v>Employment licensing was not found as a supported service family.</x:v>
      </x:c>
      <x:c r="J3" s="10" t="str">
        <x:v>Employment licensing was not found as a supported service family.</x:v>
      </x:c>
      <x:c r="K3" s="10" t="str">
        <x:v>Employment licensing was not found as a supported service family.</x:v>
      </x:c>
      <x:c r="L3" s="10" t="str">
        <x:v>Employment licensing was not found as a supported service family.</x:v>
      </x:c>
      <x:c r="M3" s="10" t="str">
        <x:v>Employment licensing was not found as a supported service family.</x:v>
      </x:c>
    </x:row>
    <x:row r="5" ht="34" customHeight="1">
      <x:c r="A5" s="22" t="str">
        <x:v>Type</x:v>
      </x:c>
      <x:c r="B5" s="23" t="str">
        <x:v>IDs</x:v>
      </x:c>
      <x:c r="C5" s="23" t="str">
        <x:v>Target</x:v>
      </x:c>
      <x:c r="D5" s="23" t="str">
        <x:v>Problem</x:v>
      </x:c>
      <x:c r="E5" s="23" t="str">
        <x:v>Value</x:v>
      </x:c>
      <x:c r="F5" s="23" t="str">
        <x:v>Complexity</x:v>
      </x:c>
      <x:c r="G5" s="23" t="str">
        <x:v>Expert</x:v>
      </x:c>
      <x:c r="H5" s="23" t="str">
        <x:v>Core</x:v>
      </x:c>
      <x:c r="I5" s="23" t="str">
        <x:v>Content</x:v>
      </x:c>
      <x:c r="J5" s="23" t="str">
        <x:v>Burden</x:v>
      </x:c>
      <x:c r="K5" s="23" t="str">
        <x:v>Avg grade</x:v>
      </x:c>
      <x:c r="L5" s="23" t="str">
        <x:v>2h fit</x:v>
      </x:c>
      <x:c r="M5" s="24" t="str">
        <x:v>4h fit</x:v>
      </x:c>
    </x:row>
    <x:row r="6" ht="48" customHeight="1">
      <x:c r="A6" s="95" t="str">
        <x:v>Audit dan pemetaan perizinan</x:v>
      </x:c>
      <x:c r="B6" s="96" t="str">
        <x:v>L01, L11</x:v>
      </x:c>
      <x:c r="C6" s="96" t="str">
        <x:v>Decision-maker, legal/ops, investor</x:v>
      </x:c>
      <x:c r="D6" s="96" t="str">
        <x:v>Ketidakjelasan izin, mismatch, dan urutan tindakan</x:v>
      </x:c>
      <x:c r="E6" s="96" t="str">
        <x:v>Tinggi secara kualitatif</x:v>
      </x:c>
      <x:c r="F6" s="96" t="str">
        <x:v>Sedang; judgement tinggi tetapi scope bisa dibatasi</x:v>
      </x:c>
      <x:c r="G6" s="96" t="str">
        <x:v>Regulatory reviewer</x:v>
      </x:c>
      <x:c r="H6" s="96" t="str">
        <x:v>Sangat tinggi</x:v>
      </x:c>
      <x:c r="I6" s="96" t="str">
        <x:v>Tinggi</x:v>
      </x:c>
      <x:c r="J6" s="96" t="str">
        <x:v>Sedang</x:v>
      </x:c>
      <x:c r="K6" s="130" t="str">
        <x:v>A</x:v>
      </x:c>
      <x:c r="L6" s="96" t="str">
        <x:v>Sangat sesuai</x:v>
      </x:c>
      <x:c r="M6" s="97" t="str">
        <x:v>Sangat sesuai</x:v>
      </x:c>
    </x:row>
    <x:row r="7" ht="48" customHeight="1">
      <x:c r="A7" s="98" t="str">
        <x:v>Pendirian dan legalitas badan usaha</x:v>
      </x:c>
      <x:c r="B7" s="99" t="str">
        <x:v>L02, L03, L04, L05</x:v>
      </x:c>
      <x:c r="C7" s="99" t="str">
        <x:v>Founder, perusahaan baru, investor asing</x:v>
      </x:c>
      <x:c r="D7" s="99" t="str">
        <x:v>Fondasi entitas dan data korporasi</x:v>
      </x:c>
      <x:c r="E7" s="99" t="str">
        <x:v>Rendah-sedang; PT PMA lebih tinggi</x:v>
      </x:c>
      <x:c r="F7" s="99" t="str">
        <x:v>Rendah-sedang</x:v>
      </x:c>
      <x:c r="G7" s="99" t="str">
        <x:v>Legal/corporate support</x:v>
      </x:c>
      <x:c r="H7" s="99" t="str">
        <x:v>Pendukung</x:v>
      </x:c>
      <x:c r="I7" s="99" t="str">
        <x:v>Tinggi tetapi kompetitif</x:v>
      </x:c>
      <x:c r="J7" s="99" t="str">
        <x:v>Sedang</x:v>
      </x:c>
      <x:c r="K7" s="132" t="str">
        <x:v>B</x:v>
      </x:c>
      <x:c r="L7" s="99" t="str">
        <x:v>Terbatas</x:v>
      </x:c>
      <x:c r="M7" s="100" t="str">
        <x:v>Sesuai selektif</x:v>
      </x:c>
    </x:row>
    <x:row r="8" ht="48" customHeight="1">
      <x:c r="A8" s="98" t="str">
        <x:v>Perizinan berbasis risiko</x:v>
      </x:c>
      <x:c r="B8" s="99" t="str">
        <x:v>L06, L07, L08</x:v>
      </x:c>
      <x:c r="C8" s="99" t="str">
        <x:v>Perusahaan baru, berubah, atau menuju operasi</x:v>
      </x:c>
      <x:c r="D8" s="99" t="str">
        <x:v>KBLI/risk/NIB belum selaras dengan kegiatan</x:v>
      </x:c>
      <x:c r="E8" s="99" t="str">
        <x:v>Sedang-tinggi jika diagnostic/bundle</x:v>
      </x:c>
      <x:c r="F8" s="99" t="str">
        <x:v>Sedang</x:v>
      </x:c>
      <x:c r="G8" s="99" t="str">
        <x:v>OSS/RBA reviewer</x:v>
      </x:c>
      <x:c r="H8" s="99" t="str">
        <x:v>Tinggi</x:v>
      </x:c>
      <x:c r="I8" s="99" t="str">
        <x:v>Sangat tinggi</x:v>
      </x:c>
      <x:c r="J8" s="99" t="str">
        <x:v>Sedang-tinggi karena perubahan</x:v>
      </x:c>
      <x:c r="K8" s="132" t="str">
        <x:v>B</x:v>
      </x:c>
      <x:c r="L8" s="99" t="str">
        <x:v>Sesuai jika dibatasi</x:v>
      </x:c>
      <x:c r="M8" s="100" t="str">
        <x:v>Sesuai</x:v>
      </x:c>
    </x:row>
    <x:row r="9" ht="48" customHeight="1">
      <x:c r="A9" s="98" t="str">
        <x:v>Perizinan operasional/sektoral</x:v>
      </x:c>
      <x:c r="B9" s="99" t="str">
        <x:v>L09</x:v>
      </x:c>
      <x:c r="C9" s="99" t="str">
        <x:v>Operator sektor terpilih</x:v>
      </x:c>
      <x:c r="D9" s="99" t="str">
        <x:v>NIB belum cukup untuk operasi</x:v>
      </x:c>
      <x:c r="E9" s="99" t="str">
        <x:v>Tergantung sektor</x:v>
      </x:c>
      <x:c r="F9" s="99" t="str">
        <x:v>Tinggi jika katalog luas</x:v>
      </x:c>
      <x:c r="G9" s="99" t="str">
        <x:v>Sector specialist</x:v>
      </x:c>
      <x:c r="H9" s="99" t="str">
        <x:v>Selektif</x:v>
      </x:c>
      <x:c r="I9" s="99" t="str">
        <x:v>Tinggi per vertical</x:v>
      </x:c>
      <x:c r="J9" s="99" t="str">
        <x:v>Tinggi</x:v>
      </x:c>
      <x:c r="K9" s="132" t="str">
        <x:v>B</x:v>
      </x:c>
      <x:c r="L9" s="99" t="str">
        <x:v>Tidak untuk cakupan luas</x:v>
      </x:c>
      <x:c r="M9" s="100" t="str">
        <x:v>Satu-dua vertical</x:v>
      </x:c>
    </x:row>
    <x:row r="10" ht="48" customHeight="1">
      <x:c r="A10" s="98" t="str">
        <x:v>Kepatuhan pasca-izin</x:v>
      </x:c>
      <x:c r="B10" s="99" t="str">
        <x:v>L10, L14</x:v>
      </x:c>
      <x:c r="C10" s="99" t="str">
        <x:v>Perusahaan dengan izin dan kewajiban berkala</x:v>
      </x:c>
      <x:c r="D10" s="99" t="str">
        <x:v>Monitoring, LKPM, renewal, dan perubahan regulasi</x:v>
      </x:c>
      <x:c r="E10" s="99" t="str">
        <x:v>Tinggi dan berulang</x:v>
      </x:c>
      <x:c r="F10" s="99" t="str">
        <x:v>Sedang; sistem intensive</x:v>
      </x:c>
      <x:c r="G10" s="99" t="str">
        <x:v>Compliance lead/reviewer</x:v>
      </x:c>
      <x:c r="H10" s="99" t="str">
        <x:v>Sangat tinggi</x:v>
      </x:c>
      <x:c r="I10" s="99" t="str">
        <x:v>Tinggi</x:v>
      </x:c>
      <x:c r="J10" s="99" t="str">
        <x:v>Maintenance regulasi tinggi</x:v>
      </x:c>
      <x:c r="K10" s="136" t="str">
        <x:v>A</x:v>
      </x:c>
      <x:c r="L10" s="99" t="str">
        <x:v>Sangat sesuai dengan SOP</x:v>
      </x:c>
      <x:c r="M10" s="100" t="str">
        <x:v>Sangat sesuai/scale</x:v>
      </x:c>
    </x:row>
    <x:row r="11" ht="48" customHeight="1">
      <x:c r="A11" s="98" t="str">
        <x:v>Perubahan, perpanjangan, dan penutupan</x:v>
      </x:c>
      <x:c r="B11" s="99" t="str">
        <x:v>L12, L13</x:v>
      </x:c>
      <x:c r="C11" s="99" t="str">
        <x:v>Klien lifecycle</x:v>
      </x:c>
      <x:c r="D11" s="99" t="str">
        <x:v>Status izin berubah/kedaluwarsa/ditutup</x:v>
      </x:c>
      <x:c r="E11" s="99" t="str">
        <x:v>Sedang</x:v>
      </x:c>
      <x:c r="F11" s="99" t="str">
        <x:v>Sedang</x:v>
      </x:c>
      <x:c r="G11" s="99" t="str">
        <x:v>Case manager + partner sesuai isu</x:v>
      </x:c>
      <x:c r="H11" s="99" t="str">
        <x:v>Modul</x:v>
      </x:c>
      <x:c r="I11" s="99" t="str">
        <x:v>Sedang</x:v>
      </x:c>
      <x:c r="J11" s="99" t="str">
        <x:v>Sedang</x:v>
      </x:c>
      <x:c r="K11" s="132" t="str">
        <x:v>B</x:v>
      </x:c>
      <x:c r="L11" s="99" t="str">
        <x:v>Sebagai retainer</x:v>
      </x:c>
      <x:c r="M11" s="100" t="str">
        <x:v>Sesuai selektif</x:v>
      </x:c>
    </x:row>
    <x:row r="12" ht="48" customHeight="1">
      <x:c r="A12" s="98" t="str">
        <x:v>Perizinan proyek dan investasi</x:v>
      </x:c>
      <x:c r="B12" s="99" t="str">
        <x:v>L15</x:v>
      </x:c>
      <x:c r="C12" s="99" t="str">
        <x:v>Investor, developer, project owner</x:v>
      </x:c>
      <x:c r="D12" s="99" t="str">
        <x:v>Izin saling bergantung dan proyek tidak terkendali</x:v>
      </x:c>
      <x:c r="E12" s="99" t="str">
        <x:v>Tinggi</x:v>
      </x:c>
      <x:c r="F12" s="99" t="str">
        <x:v>Sangat tinggi</x:v>
      </x:c>
      <x:c r="G12" s="99" t="str">
        <x:v>PMO + multi-disciplinary partners</x:v>
      </x:c>
      <x:c r="H12" s="99" t="str">
        <x:v>Growth offer</x:v>
      </x:c>
      <x:c r="I12" s="99" t="str">
        <x:v>Sangat tinggi</x:v>
      </x:c>
      <x:c r="J12" s="99" t="str">
        <x:v>Sangat tinggi</x:v>
      </x:c>
      <x:c r="K12" s="132" t="str">
        <x:v>B</x:v>
      </x:c>
      <x:c r="L12" s="99" t="str">
        <x:v>Partner/front-end only</x:v>
      </x:c>
      <x:c r="M12" s="100" t="str">
        <x:v>Selektif</x:v>
      </x:c>
    </x:row>
    <x:row r="13" ht="48" customHeight="1">
      <x:c r="A13" s="98" t="str">
        <x:v>Bangunan, lokasi, pertanahan, lingkungan</x:v>
      </x:c>
      <x:c r="B13" s="99" t="str">
        <x:v>L16, L17, L18, L19</x:v>
      </x:c>
      <x:c r="C13" s="99" t="str">
        <x:v>Pabrik, gudang, developer, project owner</x:v>
      </x:c>
      <x:c r="D13" s="99" t="str">
        <x:v>Site/project prerequisites</x:v>
      </x:c>
      <x:c r="E13" s="99" t="str">
        <x:v>Tinggi</x:v>
      </x:c>
      <x:c r="F13" s="99" t="str">
        <x:v>Sangat tinggi</x:v>
      </x:c>
      <x:c r="G13" s="99" t="str">
        <x:v>Spatial, land, environment, building experts</x:v>
      </x:c>
      <x:c r="H13" s="99" t="str">
        <x:v>Partner-based</x:v>
      </x:c>
      <x:c r="I13" s="99" t="str">
        <x:v>Sangat tinggi</x:v>
      </x:c>
      <x:c r="J13" s="99" t="str">
        <x:v>Sangat tinggi</x:v>
      </x:c>
      <x:c r="K13" s="132" t="str">
        <x:v>B</x:v>
      </x:c>
      <x:c r="L13" s="99" t="str">
        <x:v>Tidak in-house</x:v>
      </x:c>
      <x:c r="M13" s="100" t="str">
        <x:v>PM selektif</x:v>
      </x:c>
    </x:row>
    <x:row r="14" ht="48" customHeight="1">
      <x:c r="A14" s="98" t="str">
        <x:v>Industri dan konstruksi</x:v>
      </x:c>
      <x:c r="B14" s="99" t="str">
        <x:v>L20, L21</x:v>
      </x:c>
      <x:c r="C14" s="99" t="str">
        <x:v>Manufacturer, factory investor, contractor</x:v>
      </x:c>
      <x:c r="D14" s="99" t="str">
        <x:v>Project/tender/operation readiness</x:v>
      </x:c>
      <x:c r="E14" s="99" t="str">
        <x:v>Tinggi</x:v>
      </x:c>
      <x:c r="F14" s="99" t="str">
        <x:v>Tinggi-sangat tinggi</x:v>
      </x:c>
      <x:c r="G14" s="99" t="str">
        <x:v>Industry/construction specialists</x:v>
      </x:c>
      <x:c r="H14" s="99" t="str">
        <x:v>Vertical growth</x:v>
      </x:c>
      <x:c r="I14" s="99" t="str">
        <x:v>Sangat tinggi</x:v>
      </x:c>
      <x:c r="J14" s="99" t="str">
        <x:v>Tinggi</x:v>
      </x:c>
      <x:c r="K14" s="132" t="str">
        <x:v>B</x:v>
      </x:c>
      <x:c r="L14" s="99" t="str">
        <x:v>Partner-based</x:v>
      </x:c>
      <x:c r="M14" s="100" t="str">
        <x:v>Satu vertical</x:v>
      </x:c>
    </x:row>
    <x:row r="15" ht="48" customHeight="1">
      <x:c r="A15" s="98" t="str">
        <x:v>Perdagangan, distribusi, ekspor-impor</x:v>
      </x:c>
      <x:c r="B15" s="99" t="str">
        <x:v>L22, L23</x:v>
      </x:c>
      <x:c r="C15" s="99" t="str">
        <x:v>Trader, distributor, importer/exporter</x:v>
      </x:c>
      <x:c r="D15" s="99" t="str">
        <x:v>Operational and cross-border readiness</x:v>
      </x:c>
      <x:c r="E15" s="99" t="str">
        <x:v>Sedang</x:v>
      </x:c>
      <x:c r="F15" s="99" t="str">
        <x:v>Sedang-tinggi</x:v>
      </x:c>
      <x:c r="G15" s="99" t="str">
        <x:v>Trade/customs partner</x:v>
      </x:c>
      <x:c r="H15" s="99" t="str">
        <x:v>Selective</x:v>
      </x:c>
      <x:c r="I15" s="99" t="str">
        <x:v>Tinggi</x:v>
      </x:c>
      <x:c r="J15" s="99" t="str">
        <x:v>Tinggi</x:v>
      </x:c>
      <x:c r="K15" s="132" t="str">
        <x:v>B</x:v>
      </x:c>
      <x:c r="L15" s="99" t="str">
        <x:v>Terbatas</x:v>
      </x:c>
      <x:c r="M15" s="100" t="str">
        <x:v>Satu sub-sector</x:v>
      </x:c>
    </x:row>
    <x:row r="16" ht="48" customHeight="1">
      <x:c r="A16" s="98" t="str">
        <x:v>Makanan dan produk</x:v>
      </x:c>
      <x:c r="B16" s="99" t="str">
        <x:v>L25, L26, L27, L28, L29</x:v>
      </x:c>
      <x:c r="C16" s="99" t="str">
        <x:v>Producer, importer, product owner</x:v>
      </x:c>
      <x:c r="D16" s="99" t="str">
        <x:v>Market access dan product compliance</x:v>
      </x:c>
      <x:c r="E16" s="99" t="str">
        <x:v>Campuran; bundle/BPOM advanced lebih tinggi</x:v>
      </x:c>
      <x:c r="F16" s="99" t="str">
        <x:v>Sedang-sangat tinggi</x:v>
      </x:c>
      <x:c r="G16" s="99" t="str">
        <x:v>Product/halal/BPOM/SNI partners</x:v>
      </x:c>
      <x:c r="H16" s="99" t="str">
        <x:v>Experimental/partner</x:v>
      </x:c>
      <x:c r="I16" s="99" t="str">
        <x:v>Sangat tinggi</x:v>
      </x:c>
      <x:c r="J16" s="99" t="str">
        <x:v>Sangat tinggi</x:v>
      </x:c>
      <x:c r="K16" s="134" t="str">
        <x:v>C</x:v>
      </x:c>
      <x:c r="L16" s="99" t="str">
        <x:v>Partner-only</x:v>
      </x:c>
      <x:c r="M16" s="100" t="str">
        <x:v>Pilot vertical</x:v>
      </x:c>
    </x:row>
    <x:row r="17" ht="48" customHeight="1">
      <x:c r="A17" s="98" t="str">
        <x:v>Kesehatan, keuangan, dan sektor khusus</x:v>
      </x:c>
      <x:c r="B17" s="99" t="str">
        <x:v>L30, L31, L32, L33, L34</x:v>
      </x:c>
      <x:c r="C17" s="99" t="str">
        <x:v>Regulated sector operators</x:v>
      </x:c>
      <x:c r="D17" s="99" t="str">
        <x:v>Market/operational access</x:v>
      </x:c>
      <x:c r="E17" s="99" t="str">
        <x:v>Tinggi potensial</x:v>
      </x:c>
      <x:c r="F17" s="99" t="str">
        <x:v>Sangat tinggi</x:v>
      </x:c>
      <x:c r="G17" s="99" t="str">
        <x:v>Named specialist teams</x:v>
      </x:c>
      <x:c r="H17" s="99" t="str">
        <x:v>Ditunda</x:v>
      </x:c>
      <x:c r="I17" s="99" t="str">
        <x:v>Tinggi</x:v>
      </x:c>
      <x:c r="J17" s="99" t="str">
        <x:v>Sangat tinggi</x:v>
      </x:c>
      <x:c r="K17" s="134" t="str">
        <x:v>C</x:v>
      </x:c>
      <x:c r="L17" s="99" t="str">
        <x:v>Tidak sesuai</x:v>
      </x:c>
      <x:c r="M17" s="100" t="str">
        <x:v>Tidak sebelum proof</x:v>
      </x:c>
    </x:row>
    <x:row r="18" ht="48" customHeight="1">
      <x:c r="A18" s="98" t="str">
        <x:v>Digital dan data</x:v>
      </x:c>
      <x:c r="B18" s="99" t="str">
        <x:v>L24</x:v>
      </x:c>
      <x:c r="C18" s="99" t="str">
        <x:v>Platform/startup/system operator</x:v>
      </x:c>
      <x:c r="D18" s="99" t="str">
        <x:v>Regulatory and legal readiness</x:v>
      </x:c>
      <x:c r="E18" s="99" t="str">
        <x:v>Sedang-tinggi potensial</x:v>
      </x:c>
      <x:c r="F18" s="99" t="str">
        <x:v>Tinggi</x:v>
      </x:c>
      <x:c r="G18" s="99" t="str">
        <x:v>Data/privacy/sector counsel</x:v>
      </x:c>
      <x:c r="H18" s="99" t="str">
        <x:v>Experimental</x:v>
      </x:c>
      <x:c r="I18" s="99" t="str">
        <x:v>Sangat tinggi</x:v>
      </x:c>
      <x:c r="J18" s="99" t="str">
        <x:v>Tinggi</x:v>
      </x:c>
      <x:c r="K18" s="132" t="str">
        <x:v>B</x:v>
      </x:c>
      <x:c r="L18" s="99" t="str">
        <x:v>Pilot partner</x:v>
      </x:c>
      <x:c r="M18" s="100" t="str">
        <x:v>Satu vertical</x:v>
      </x:c>
    </x:row>
    <x:row r="19" ht="48" customHeight="1">
      <x:c r="A19" s="98" t="str">
        <x:v>Legal dan administrasi pendukung</x:v>
      </x:c>
      <x:c r="B19" s="99" t="str">
        <x:v>L35, L36, L37, L38</x:v>
      </x:c>
      <x:c r="C19" s="99" t="str">
        <x:v>Existing permit clients</x:v>
      </x:c>
      <x:c r="D19" s="99" t="str">
        <x:v>Supporting documents/admin</x:v>
      </x:c>
      <x:c r="E19" s="99" t="str">
        <x:v>Rendah-sedang</x:v>
      </x:c>
      <x:c r="F19" s="99" t="str">
        <x:v>Rendah-sedang</x:v>
      </x:c>
      <x:c r="G19" s="99" t="str">
        <x:v>Legal/tax/vendor partners</x:v>
      </x:c>
      <x:c r="H19" s="99" t="str">
        <x:v>Tidak</x:v>
      </x:c>
      <x:c r="I19" s="99" t="str">
        <x:v>Sedang</x:v>
      </x:c>
      <x:c r="J19" s="99" t="str">
        <x:v>Distraction risk</x:v>
      </x:c>
      <x:c r="K19" s="134" t="str">
        <x:v>C</x:v>
      </x:c>
      <x:c r="L19" s="99" t="str">
        <x:v>Referral/bundle</x:v>
      </x:c>
      <x:c r="M19" s="100" t="str">
        <x:v>Referral/bundle</x:v>
      </x:c>
    </x:row>
    <x:row r="20" ht="48" customHeight="1">
      <x:c r="A20" s="101" t="str">
        <x:v>Long-tail izin umum</x:v>
      </x:c>
      <x:c r="B20" s="102" t="str">
        <x:v>L39</x:v>
      </x:c>
      <x:c r="C20" s="102" t="str">
        <x:v>Unsegmented inquiries</x:v>
      </x:c>
      <x:c r="D20" s="102" t="str">
        <x:v>Variatif</x:v>
      </x:c>
      <x:c r="E20" s="102" t="str">
        <x:v>Tidak tervalidasi</x:v>
      </x:c>
      <x:c r="F20" s="102" t="str">
        <x:v>Tidak terbatas</x:v>
      </x:c>
      <x:c r="G20" s="102" t="str">
        <x:v>Bervariasi</x:v>
      </x:c>
      <x:c r="H20" s="102" t="str">
        <x:v>Tidak</x:v>
      </x:c>
      <x:c r="I20" s="102" t="str">
        <x:v>Tinggi secara volume, buruk secara maintenance</x:v>
      </x:c>
      <x:c r="J20" s="102" t="str">
        <x:v>Sangat tinggi</x:v>
      </x:c>
      <x:c r="K20" s="138" t="str">
        <x:v>C</x:v>
      </x:c>
      <x:c r="L20" s="102" t="str">
        <x:v>Tidak sesuai</x:v>
      </x:c>
      <x:c r="M20" s="103" t="str">
        <x:v>Tidak sesuai</x:v>
      </x:c>
    </x:row>
  </x:sheetData>
  <x:mergeCells>
    <x:mergeCell ref="A1:M1"/>
    <x:mergeCell ref="A2:M2"/>
    <x:mergeCell ref="A3:M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2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4" hidden="0" customWidth="1"/>
  </x:cols>
  <x:sheetData>
    <x:row r="1" ht="34" customHeight="1">
      <x:c r="A1" s="4" t="str">
        <x:v>Scenario Comparison Matrix — 18 Alternatives</x:v>
      </x:c>
      <x:c r="B1" s="4" t="str">
        <x:v>Scenario Comparison Matrix — 18 Alternatives</x:v>
      </x:c>
      <x:c r="C1" s="4" t="str">
        <x:v>Scenario Comparison Matrix — 18 Alternatives</x:v>
      </x:c>
      <x:c r="D1" s="4" t="str">
        <x:v>Scenario Comparison Matrix — 18 Alternatives</x:v>
      </x:c>
      <x:c r="E1" s="4" t="str">
        <x:v>Scenario Comparison Matrix — 18 Alternatives</x:v>
      </x:c>
      <x:c r="F1" s="4" t="str">
        <x:v>Scenario Comparison Matrix — 18 Alternatives</x:v>
      </x:c>
      <x:c r="G1" s="4" t="str">
        <x:v>Scenario Comparison Matrix — 18 Alternatives</x:v>
      </x:c>
      <x:c r="H1" s="4" t="str">
        <x:v>Scenario Comparison Matrix — 18 Alternatives</x:v>
      </x:c>
      <x:c r="I1" s="4" t="str">
        <x:v>Scenario Comparison Matrix — 18 Alternatives</x:v>
      </x:c>
      <x:c r="J1" s="4" t="str">
        <x:v>Scenario Comparison Matrix — 18 Alternatives</x:v>
      </x:c>
      <x:c r="K1" s="4" t="str">
        <x:v>Scenario Comparison Matrix — 18 Alternatives</x:v>
      </x:c>
      <x:c r="L1" s="4" t="str">
        <x:v>Scenario Comparison Matrix — 18 Alternatives</x:v>
      </x:c>
      <x:c r="M1" s="4" t="str">
        <x:v>Scenario Comparison Matrix — 18 Alternatives</x:v>
      </x:c>
      <x:c r="N1" s="4" t="str">
        <x:v>Scenario Comparison Matrix — 18 Alternatives</x:v>
      </x:c>
      <x:c r="O1" s="4" t="str">
        <x:v>Scenario Comparison Matrix — 18 Alternatives</x:v>
      </x:c>
      <x:c r="P1" s="4" t="str">
        <x:v>Scenario Comparison Matrix — 18 Alternatives</x:v>
      </x:c>
      <x:c r="Q1" s="4" t="str">
        <x:v>Scenario Comparison Matrix — 18 Alternatives</x:v>
      </x:c>
      <x:c r="R1" s="4" t="str">
        <x:v>Scenario Comparison Matrix — 18 Alternatives</x:v>
      </x:c>
      <x:c r="S1" s="4" t="str">
        <x:v>Scenario Comparison Matrix — 18 Alternatives</x:v>
      </x:c>
      <x:c r="T1" s="4" t="str">
        <x:v>Scenario Comparison Matrix — 18 Alternatives</x:v>
      </x:c>
      <x:c r="U1" s="4" t="str">
        <x:v>Scenario Comparison Matrix — 18 Alternatives</x:v>
      </x:c>
      <x:c r="V1" s="4" t="str">
        <x:v>Scenario Comparison Matrix — 18 Alternatives</x:v>
      </x:c>
      <x:c r="W1" s="4" t="str">
        <x:v>Scenario Comparison Matrix — 18 Alternatives</x:v>
      </x:c>
    </x:row>
    <x:row r="2" ht="28" customHeight="1">
      <x:c r="A2" s="7" t="str">
        <x:v>Scores 1-5; 5 is favorable. Yellow cells are adjustable.</x:v>
      </x:c>
      <x:c r="B2" s="7" t="str">
        <x:v>Scores 1-5; 5 is favorable. Yellow cells are adjustable.</x:v>
      </x:c>
      <x:c r="C2" s="7" t="str">
        <x:v>Scores 1-5; 5 is favorable. Yellow cells are adjustable.</x:v>
      </x:c>
      <x:c r="D2" s="7" t="str">
        <x:v>Scores 1-5; 5 is favorable. Yellow cells are adjustable.</x:v>
      </x:c>
      <x:c r="E2" s="7" t="str">
        <x:v>Scores 1-5; 5 is favorable. Yellow cells are adjustable.</x:v>
      </x:c>
      <x:c r="F2" s="7" t="str">
        <x:v>Scores 1-5; 5 is favorable. Yellow cells are adjustable.</x:v>
      </x:c>
      <x:c r="G2" s="7" t="str">
        <x:v>Scores 1-5; 5 is favorable. Yellow cells are adjustable.</x:v>
      </x:c>
      <x:c r="H2" s="7" t="str">
        <x:v>Scores 1-5; 5 is favorable. Yellow cells are adjustable.</x:v>
      </x:c>
      <x:c r="I2" s="7" t="str">
        <x:v>Scores 1-5; 5 is favorable. Yellow cells are adjustable.</x:v>
      </x:c>
      <x:c r="J2" s="7" t="str">
        <x:v>Scores 1-5; 5 is favorable. Yellow cells are adjustable.</x:v>
      </x:c>
      <x:c r="K2" s="7" t="str">
        <x:v>Scores 1-5; 5 is favorable. Yellow cells are adjustable.</x:v>
      </x:c>
      <x:c r="L2" s="7" t="str">
        <x:v>Scores 1-5; 5 is favorable. Yellow cells are adjustable.</x:v>
      </x:c>
      <x:c r="M2" s="7" t="str">
        <x:v>Scores 1-5; 5 is favorable. Yellow cells are adjustable.</x:v>
      </x:c>
      <x:c r="N2" s="7" t="str">
        <x:v>Scores 1-5; 5 is favorable. Yellow cells are adjustable.</x:v>
      </x:c>
      <x:c r="O2" s="7" t="str">
        <x:v>Scores 1-5; 5 is favorable. Yellow cells are adjustable.</x:v>
      </x:c>
      <x:c r="P2" s="7" t="str">
        <x:v>Scores 1-5; 5 is favorable. Yellow cells are adjustable.</x:v>
      </x:c>
      <x:c r="Q2" s="7" t="str">
        <x:v>Scores 1-5; 5 is favorable. Yellow cells are adjustable.</x:v>
      </x:c>
      <x:c r="R2" s="7" t="str">
        <x:v>Scores 1-5; 5 is favorable. Yellow cells are adjustable.</x:v>
      </x:c>
      <x:c r="S2" s="7" t="str">
        <x:v>Scores 1-5; 5 is favorable. Yellow cells are adjustable.</x:v>
      </x:c>
      <x:c r="T2" s="7" t="str">
        <x:v>Scores 1-5; 5 is favorable. Yellow cells are adjustable.</x:v>
      </x:c>
      <x:c r="U2" s="7" t="str">
        <x:v>Scores 1-5; 5 is favorable. Yellow cells are adjustable.</x:v>
      </x:c>
      <x:c r="V2" s="7" t="str">
        <x:v>Scores 1-5; 5 is favorable. Yellow cells are adjustable.</x:v>
      </x:c>
      <x:c r="W2" s="7" t="str">
        <x:v>Scores 1-5; 5 is favorable. Yellow cells are adjustable.</x:v>
      </x:c>
    </x:row>
    <x:row r="3" ht="30" customHeight="1">
      <x:c r="A3" s="10" t="str">
        <x:v>Score is a comparison aid, not a launch approval.</x:v>
      </x:c>
      <x:c r="B3" s="10" t="str">
        <x:v>Score is a comparison aid, not a launch approval.</x:v>
      </x:c>
      <x:c r="C3" s="10" t="str">
        <x:v>Score is a comparison aid, not a launch approval.</x:v>
      </x:c>
      <x:c r="D3" s="10" t="str">
        <x:v>Score is a comparison aid, not a launch approval.</x:v>
      </x:c>
      <x:c r="E3" s="10" t="str">
        <x:v>Score is a comparison aid, not a launch approval.</x:v>
      </x:c>
      <x:c r="F3" s="10" t="str">
        <x:v>Score is a comparison aid, not a launch approval.</x:v>
      </x:c>
      <x:c r="G3" s="10" t="str">
        <x:v>Score is a comparison aid, not a launch approval.</x:v>
      </x:c>
      <x:c r="H3" s="10" t="str">
        <x:v>Score is a comparison aid, not a launch approval.</x:v>
      </x:c>
      <x:c r="I3" s="10" t="str">
        <x:v>Score is a comparison aid, not a launch approval.</x:v>
      </x:c>
      <x:c r="J3" s="10" t="str">
        <x:v>Score is a comparison aid, not a launch approval.</x:v>
      </x:c>
      <x:c r="K3" s="10" t="str">
        <x:v>Score is a comparison aid, not a launch approval.</x:v>
      </x:c>
      <x:c r="L3" s="10" t="str">
        <x:v>Score is a comparison aid, not a launch approval.</x:v>
      </x:c>
      <x:c r="M3" s="10" t="str">
        <x:v>Score is a comparison aid, not a launch approval.</x:v>
      </x:c>
      <x:c r="N3" s="10" t="str">
        <x:v>Score is a comparison aid, not a launch approval.</x:v>
      </x:c>
      <x:c r="O3" s="10" t="str">
        <x:v>Score is a comparison aid, not a launch approval.</x:v>
      </x:c>
      <x:c r="P3" s="10" t="str">
        <x:v>Score is a comparison aid, not a launch approval.</x:v>
      </x:c>
      <x:c r="Q3" s="10" t="str">
        <x:v>Score is a comparison aid, not a launch approval.</x:v>
      </x:c>
      <x:c r="R3" s="10" t="str">
        <x:v>Score is a comparison aid, not a launch approval.</x:v>
      </x:c>
      <x:c r="S3" s="10" t="str">
        <x:v>Score is a comparison aid, not a launch approval.</x:v>
      </x:c>
      <x:c r="T3" s="10" t="str">
        <x:v>Score is a comparison aid, not a launch approval.</x:v>
      </x:c>
      <x:c r="U3" s="10" t="str">
        <x:v>Score is a comparison aid, not a launch approval.</x:v>
      </x:c>
      <x:c r="V3" s="10" t="str">
        <x:v>Score is a comparison aid, not a launch approval.</x:v>
      </x:c>
      <x:c r="W3" s="10" t="str">
        <x:v>Score is a comparison aid, not a launch approval.</x:v>
      </x:c>
    </x:row>
    <x:row r="5" ht="34" customHeight="1">
      <x:c r="A5" s="22" t="str">
        <x:v>ID</x:v>
      </x:c>
      <x:c r="B5" s="23" t="str">
        <x:v>Scenario</x:v>
      </x:c>
      <x:c r="C5" s="23" t="str">
        <x:v>Family</x:v>
      </x:c>
      <x:c r="D5" s="23" t="str">
        <x:v>Decision</x:v>
      </x:c>
      <x:c r="E5" s="23" t="str">
        <x:v>Owner time</x:v>
      </x:c>
      <x:c r="F5" s="23" t="str">
        <x:v>Team</x:v>
      </x:c>
      <x:c r="G5" s="23" t="str">
        <x:v>Potensi pendapatan</x:v>
      </x:c>
      <x:c r="H5" s="23" t="str">
        <x:v>Potensi margin</x:v>
      </x:c>
      <x:c r="I5" s="23" t="str">
        <x:v>Kesesuaian waktu pemilik</x:v>
      </x:c>
      <x:c r="J5" s="23" t="str">
        <x:v>Kompleksitas rendah</x:v>
      </x:c>
      <x:c r="K5" s="23" t="str">
        <x:v>Risiko rendah</x:v>
      </x:c>
      <x:c r="L5" s="23" t="str">
        <x:v>Kemudahan SOP</x:v>
      </x:c>
      <x:c r="M5" s="23" t="str">
        <x:v>Kemudahan delegasi</x:v>
      </x:c>
      <x:c r="N5" s="23" t="str">
        <x:v>Potensi automasi</x:v>
      </x:c>
      <x:c r="O5" s="23" t="str">
        <x:v>Ketergantungan mitra rendah</x:v>
      </x:c>
      <x:c r="P5" s="23" t="str">
        <x:v>Potensi repeat</x:v>
      </x:c>
      <x:c r="Q5" s="23" t="str">
        <x:v>Potensi SEO</x:v>
      </x:c>
      <x:c r="R5" s="23" t="str">
        <x:v>Beban konten rendah</x:v>
      </x:c>
      <x:c r="S5" s="23" t="str">
        <x:v>Beban maintenance rendah</x:v>
      </x:c>
      <x:c r="T5" s="23" t="str">
        <x:v>Kecepatan implementasi</x:v>
      </x:c>
      <x:c r="U5" s="23" t="str">
        <x:v>Kesesuaian core agency</x:v>
      </x:c>
      <x:c r="V5" s="23" t="str">
        <x:v>Skalabilitas</x:v>
      </x:c>
      <x:c r="W5" s="24" t="str">
        <x:v>Final score</x:v>
      </x:c>
    </x:row>
    <x:row r="6">
      <x:c r="A6" s="157" t="str">
        <x:v>K01</x:v>
      </x:c>
      <x:c r="B6" s="158" t="str">
        <x:v>2 Jam — Grade A Saja</x:v>
      </x:c>
      <x:c r="C6" s="158" t="str">
        <x:v>Waktu pemilik</x:v>
      </x:c>
      <x:c r="D6" s="158" t="str">
        <x:v>PILIH sebagai opsi aman</x:v>
      </x:c>
      <x:c r="E6" s="158" t="str">
        <x:v>Maks. 2 jam/hari</x:v>
      </x:c>
      <x:c r="F6" s="158" t="str">
        <x:v>4 orang</x:v>
      </x:c>
      <x:c r="G6" s="169" t="n">
        <x:v>3</x:v>
      </x:c>
      <x:c r="H6" s="169" t="n">
        <x:v>4</x:v>
      </x:c>
      <x:c r="I6" s="169" t="n">
        <x:v>5</x:v>
      </x:c>
      <x:c r="J6" s="169" t="n">
        <x:v>5</x:v>
      </x:c>
      <x:c r="K6" s="169" t="n">
        <x:v>4</x:v>
      </x:c>
      <x:c r="L6" s="169" t="n">
        <x:v>5</x:v>
      </x:c>
      <x:c r="M6" s="169" t="n">
        <x:v>4</x:v>
      </x:c>
      <x:c r="N6" s="169" t="n">
        <x:v>5</x:v>
      </x:c>
      <x:c r="O6" s="169" t="n">
        <x:v>4</x:v>
      </x:c>
      <x:c r="P6" s="169" t="n">
        <x:v>5</x:v>
      </x:c>
      <x:c r="Q6" s="169" t="n">
        <x:v>4</x:v>
      </x:c>
      <x:c r="R6" s="169" t="n">
        <x:v>5</x:v>
      </x:c>
      <x:c r="S6" s="169" t="n">
        <x:v>5</x:v>
      </x:c>
      <x:c r="T6" s="169" t="n">
        <x:v>5</x:v>
      </x:c>
      <x:c r="U6" s="169" t="n">
        <x:v>5</x:v>
      </x:c>
      <x:c r="V6" s="169" t="n">
        <x:v>4</x:v>
      </x:c>
      <x:c r="W6" s="175" t="n">
        <x:f>ROUND(SUMPRODUCT(G6:V6,'Scoring Guide'!$B$43:$Q$43),2)</x:f>
        <x:v>4.44</x:v>
      </x:c>
    </x:row>
    <x:row r="7">
      <x:c r="A7" s="160" t="str">
        <x:v>K02</x:v>
      </x:c>
      <x:c r="B7" s="161" t="str">
        <x:v>2 Jam — Grade A dan B Terbatas</x:v>
      </x:c>
      <x:c r="C7" s="161" t="str">
        <x:v>Waktu pemilik</x:v>
      </x:c>
      <x:c r="D7" s="161" t="str">
        <x:v>UJI</x:v>
      </x:c>
      <x:c r="E7" s="161" t="str">
        <x:v>Maks. 2 jam/hari</x:v>
      </x:c>
      <x:c r="F7" s="161" t="str">
        <x:v>4-5 orang</x:v>
      </x:c>
      <x:c r="G7" s="170" t="n">
        <x:v>4</x:v>
      </x:c>
      <x:c r="H7" s="170" t="n">
        <x:v>4</x:v>
      </x:c>
      <x:c r="I7" s="170" t="n">
        <x:v>4</x:v>
      </x:c>
      <x:c r="J7" s="170" t="n">
        <x:v>4</x:v>
      </x:c>
      <x:c r="K7" s="170" t="n">
        <x:v>3</x:v>
      </x:c>
      <x:c r="L7" s="170" t="n">
        <x:v>4</x:v>
      </x:c>
      <x:c r="M7" s="170" t="n">
        <x:v>4</x:v>
      </x:c>
      <x:c r="N7" s="170" t="n">
        <x:v>4</x:v>
      </x:c>
      <x:c r="O7" s="170" t="n">
        <x:v>3</x:v>
      </x:c>
      <x:c r="P7" s="170" t="n">
        <x:v>5</x:v>
      </x:c>
      <x:c r="Q7" s="170" t="n">
        <x:v>5</x:v>
      </x:c>
      <x:c r="R7" s="170" t="n">
        <x:v>3</x:v>
      </x:c>
      <x:c r="S7" s="170" t="n">
        <x:v>3</x:v>
      </x:c>
      <x:c r="T7" s="170" t="n">
        <x:v>4</x:v>
      </x:c>
      <x:c r="U7" s="170" t="n">
        <x:v>4</x:v>
      </x:c>
      <x:c r="V7" s="170" t="n">
        <x:v>4</x:v>
      </x:c>
      <x:c r="W7" s="176" t="n">
        <x:f>ROUND(SUMPRODUCT(G7:V7,'Scoring Guide'!$B$43:$Q$43),2)</x:f>
        <x:v>3.93</x:v>
      </x:c>
    </x:row>
    <x:row r="8">
      <x:c r="A8" s="160" t="str">
        <x:v>K03</x:v>
      </x:c>
      <x:c r="B8" s="161" t="str">
        <x:v>2 Jam — Spesialis Satu Tipe Perizinan</x:v>
      </x:c>
      <x:c r="C8" s="161" t="str">
        <x:v>Waktu pemilik</x:v>
      </x:c>
      <x:c r="D8" s="161" t="str">
        <x:v>PILIH jika niche tervalidasi</x:v>
      </x:c>
      <x:c r="E8" s="161" t="str">
        <x:v>Maks. 2 jam/hari</x:v>
      </x:c>
      <x:c r="F8" s="161" t="str">
        <x:v>4 orang</x:v>
      </x:c>
      <x:c r="G8" s="170" t="n">
        <x:v>3</x:v>
      </x:c>
      <x:c r="H8" s="170" t="n">
        <x:v>4</x:v>
      </x:c>
      <x:c r="I8" s="170" t="n">
        <x:v>5</x:v>
      </x:c>
      <x:c r="J8" s="170" t="n">
        <x:v>5</x:v>
      </x:c>
      <x:c r="K8" s="170" t="n">
        <x:v>4</x:v>
      </x:c>
      <x:c r="L8" s="170" t="n">
        <x:v>5</x:v>
      </x:c>
      <x:c r="M8" s="170" t="n">
        <x:v>4</x:v>
      </x:c>
      <x:c r="N8" s="170" t="n">
        <x:v>4</x:v>
      </x:c>
      <x:c r="O8" s="170" t="n">
        <x:v>4</x:v>
      </x:c>
      <x:c r="P8" s="170" t="n">
        <x:v>4</x:v>
      </x:c>
      <x:c r="Q8" s="170" t="n">
        <x:v>5</x:v>
      </x:c>
      <x:c r="R8" s="170" t="n">
        <x:v>4</x:v>
      </x:c>
      <x:c r="S8" s="170" t="n">
        <x:v>4</x:v>
      </x:c>
      <x:c r="T8" s="170" t="n">
        <x:v>5</x:v>
      </x:c>
      <x:c r="U8" s="170" t="n">
        <x:v>5</x:v>
      </x:c>
      <x:c r="V8" s="170" t="n">
        <x:v>3</x:v>
      </x:c>
      <x:c r="W8" s="176" t="n">
        <x:f>ROUND(SUMPRODUCT(G8:V8,'Scoring Guide'!$B$43:$Q$43),2)</x:f>
        <x:v>4.25</x:v>
      </x:c>
    </x:row>
    <x:row r="9">
      <x:c r="A9" s="160" t="str">
        <x:v>K04</x:v>
      </x:c>
      <x:c r="B9" s="161" t="str">
        <x:v>2 Jam — Model Partner-Based</x:v>
      </x:c>
      <x:c r="C9" s="161" t="str">
        <x:v>Waktu pemilik</x:v>
      </x:c>
      <x:c r="D9" s="161" t="str">
        <x:v>UJI dengan governance kuat</x:v>
      </x:c>
      <x:c r="E9" s="161" t="str">
        <x:v>Maks. 2 jam/hari</x:v>
      </x:c>
      <x:c r="F9" s="161" t="str">
        <x:v>4 orang + bench partner</x:v>
      </x:c>
      <x:c r="G9" s="170" t="n">
        <x:v>4</x:v>
      </x:c>
      <x:c r="H9" s="170" t="n">
        <x:v>4</x:v>
      </x:c>
      <x:c r="I9" s="170" t="n">
        <x:v>5</x:v>
      </x:c>
      <x:c r="J9" s="170" t="n">
        <x:v>4</x:v>
      </x:c>
      <x:c r="K9" s="170" t="n">
        <x:v>3</x:v>
      </x:c>
      <x:c r="L9" s="170" t="n">
        <x:v>4</x:v>
      </x:c>
      <x:c r="M9" s="170" t="n">
        <x:v>5</x:v>
      </x:c>
      <x:c r="N9" s="170" t="n">
        <x:v>4</x:v>
      </x:c>
      <x:c r="O9" s="170" t="n">
        <x:v>1</x:v>
      </x:c>
      <x:c r="P9" s="170" t="n">
        <x:v>4</x:v>
      </x:c>
      <x:c r="Q9" s="170" t="n">
        <x:v>4</x:v>
      </x:c>
      <x:c r="R9" s="170" t="n">
        <x:v>4</x:v>
      </x:c>
      <x:c r="S9" s="170" t="n">
        <x:v>4</x:v>
      </x:c>
      <x:c r="T9" s="170" t="n">
        <x:v>4</x:v>
      </x:c>
      <x:c r="U9" s="170" t="n">
        <x:v>5</x:v>
      </x:c>
      <x:c r="V9" s="170" t="n">
        <x:v>5</x:v>
      </x:c>
      <x:c r="W9" s="176" t="n">
        <x:f>ROUND(SUMPRODUCT(G9:V9,'Scoring Guide'!$B$43:$Q$43),2)</x:f>
        <x:v>4.13</x:v>
      </x:c>
    </x:row>
    <x:row r="10">
      <x:c r="A10" s="160" t="str">
        <x:v>K05</x:v>
      </x:c>
      <x:c r="B10" s="161" t="str">
        <x:v>4 Jam — Grade A Saja dengan Volume Lebih Besar</x:v>
      </x:c>
      <x:c r="C10" s="161" t="str">
        <x:v>Waktu pemilik</x:v>
      </x:c>
      <x:c r="D10" s="161" t="str">
        <x:v>PILIH hanya jika agency aman</x:v>
      </x:c>
      <x:c r="E10" s="161" t="str">
        <x:v>Maks. 4 jam/hari</x:v>
      </x:c>
      <x:c r="F10" s="161" t="str">
        <x:v>5-6 orang</x:v>
      </x:c>
      <x:c r="G10" s="170" t="n">
        <x:v>4</x:v>
      </x:c>
      <x:c r="H10" s="170" t="n">
        <x:v>4</x:v>
      </x:c>
      <x:c r="I10" s="170" t="n">
        <x:v>5</x:v>
      </x:c>
      <x:c r="J10" s="170" t="n">
        <x:v>4</x:v>
      </x:c>
      <x:c r="K10" s="170" t="n">
        <x:v>4</x:v>
      </x:c>
      <x:c r="L10" s="170" t="n">
        <x:v>5</x:v>
      </x:c>
      <x:c r="M10" s="170" t="n">
        <x:v>5</x:v>
      </x:c>
      <x:c r="N10" s="170" t="n">
        <x:v>5</x:v>
      </x:c>
      <x:c r="O10" s="170" t="n">
        <x:v>4</x:v>
      </x:c>
      <x:c r="P10" s="170" t="n">
        <x:v>5</x:v>
      </x:c>
      <x:c r="Q10" s="170" t="n">
        <x:v>4</x:v>
      </x:c>
      <x:c r="R10" s="170" t="n">
        <x:v>4</x:v>
      </x:c>
      <x:c r="S10" s="170" t="n">
        <x:v>4</x:v>
      </x:c>
      <x:c r="T10" s="170" t="n">
        <x:v>4</x:v>
      </x:c>
      <x:c r="U10" s="170" t="n">
        <x:v>3</x:v>
      </x:c>
      <x:c r="V10" s="170" t="n">
        <x:v>5</x:v>
      </x:c>
      <x:c r="W10" s="176" t="n">
        <x:f>ROUND(SUMPRODUCT(G10:V10,'Scoring Guide'!$B$43:$Q$43),2)</x:f>
        <x:v>4.33</x:v>
      </x:c>
    </x:row>
    <x:row r="11">
      <x:c r="A11" s="160" t="str">
        <x:v>K06</x:v>
      </x:c>
      <x:c r="B11" s="161" t="str">
        <x:v>4 Jam — Grade A dan B</x:v>
      </x:c>
      <x:c r="C11" s="161" t="str">
        <x:v>Waktu pemilik</x:v>
      </x:c>
      <x:c r="D11" s="161" t="str">
        <x:v>UJI setelah core stabil</x:v>
      </x:c>
      <x:c r="E11" s="161" t="str">
        <x:v>Maks. 4 jam/hari</x:v>
      </x:c>
      <x:c r="F11" s="161" t="str">
        <x:v>6-7 orang</x:v>
      </x:c>
      <x:c r="G11" s="170" t="n">
        <x:v>5</x:v>
      </x:c>
      <x:c r="H11" s="170" t="n">
        <x:v>4</x:v>
      </x:c>
      <x:c r="I11" s="170" t="n">
        <x:v>4</x:v>
      </x:c>
      <x:c r="J11" s="170" t="n">
        <x:v>3</x:v>
      </x:c>
      <x:c r="K11" s="170" t="n">
        <x:v>3</x:v>
      </x:c>
      <x:c r="L11" s="170" t="n">
        <x:v>4</x:v>
      </x:c>
      <x:c r="M11" s="170" t="n">
        <x:v>4</x:v>
      </x:c>
      <x:c r="N11" s="170" t="n">
        <x:v>4</x:v>
      </x:c>
      <x:c r="O11" s="170" t="n">
        <x:v>3</x:v>
      </x:c>
      <x:c r="P11" s="170" t="n">
        <x:v>5</x:v>
      </x:c>
      <x:c r="Q11" s="170" t="n">
        <x:v>5</x:v>
      </x:c>
      <x:c r="R11" s="170" t="n">
        <x:v>3</x:v>
      </x:c>
      <x:c r="S11" s="170" t="n">
        <x:v>3</x:v>
      </x:c>
      <x:c r="T11" s="170" t="n">
        <x:v>3</x:v>
      </x:c>
      <x:c r="U11" s="170" t="n">
        <x:v>3</x:v>
      </x:c>
      <x:c r="V11" s="170" t="n">
        <x:v>5</x:v>
      </x:c>
      <x:c r="W11" s="176" t="n">
        <x:f>ROUND(SUMPRODUCT(G11:V11,'Scoring Guide'!$B$43:$Q$43),2)</x:f>
        <x:v>3.9</x:v>
      </x:c>
    </x:row>
    <x:row r="12">
      <x:c r="A12" s="160" t="str">
        <x:v>K07</x:v>
      </x:c>
      <x:c r="B12" s="161" t="str">
        <x:v>4 Jam — Multi-Tipe Perizinan Terbatas</x:v>
      </x:c>
      <x:c r="C12" s="161" t="str">
        <x:v>Waktu pemilik</x:v>
      </x:c>
      <x:c r="D12" s="161" t="str">
        <x:v>TUNDA</x:v>
      </x:c>
      <x:c r="E12" s="161" t="str">
        <x:v>Maks. 4 jam/hari</x:v>
      </x:c>
      <x:c r="F12" s="161" t="str">
        <x:v>7-8 orang</x:v>
      </x:c>
      <x:c r="G12" s="170" t="n">
        <x:v>5</x:v>
      </x:c>
      <x:c r="H12" s="170" t="n">
        <x:v>3</x:v>
      </x:c>
      <x:c r="I12" s="170" t="n">
        <x:v>3</x:v>
      </x:c>
      <x:c r="J12" s="170" t="n">
        <x:v>2</x:v>
      </x:c>
      <x:c r="K12" s="170" t="n">
        <x:v>2</x:v>
      </x:c>
      <x:c r="L12" s="170" t="n">
        <x:v>3</x:v>
      </x:c>
      <x:c r="M12" s="170" t="n">
        <x:v>3</x:v>
      </x:c>
      <x:c r="N12" s="170" t="n">
        <x:v>3</x:v>
      </x:c>
      <x:c r="O12" s="170" t="n">
        <x:v>2</x:v>
      </x:c>
      <x:c r="P12" s="170" t="n">
        <x:v>4</x:v>
      </x:c>
      <x:c r="Q12" s="170" t="n">
        <x:v>5</x:v>
      </x:c>
      <x:c r="R12" s="170" t="n">
        <x:v>2</x:v>
      </x:c>
      <x:c r="S12" s="170" t="n">
        <x:v>2</x:v>
      </x:c>
      <x:c r="T12" s="170" t="n">
        <x:v>2</x:v>
      </x:c>
      <x:c r="U12" s="170" t="n">
        <x:v>2</x:v>
      </x:c>
      <x:c r="V12" s="170" t="n">
        <x:v>4</x:v>
      </x:c>
      <x:c r="W12" s="176" t="n">
        <x:f>ROUND(SUMPRODUCT(G12:V12,'Scoring Guide'!$B$43:$Q$43),2)</x:f>
        <x:v>3.05</x:v>
      </x:c>
    </x:row>
    <x:row r="13">
      <x:c r="A13" s="160" t="str">
        <x:v>K08</x:v>
      </x:c>
      <x:c r="B13" s="161" t="str">
        <x:v>4 Jam — Model Konsultan dan Project Management</x:v>
      </x:c>
      <x:c r="C13" s="161" t="str">
        <x:v>Waktu pemilik</x:v>
      </x:c>
      <x:c r="D13" s="161" t="str">
        <x:v>UJI selektif</x:v>
      </x:c>
      <x:c r="E13" s="161" t="str">
        <x:v>Maks. 4 jam/hari</x:v>
      </x:c>
      <x:c r="F13" s="161" t="str">
        <x:v>5-7 orang + partners</x:v>
      </x:c>
      <x:c r="G13" s="170" t="n">
        <x:v>5</x:v>
      </x:c>
      <x:c r="H13" s="170" t="n">
        <x:v>4</x:v>
      </x:c>
      <x:c r="I13" s="170" t="n">
        <x:v>3</x:v>
      </x:c>
      <x:c r="J13" s="170" t="n">
        <x:v>3</x:v>
      </x:c>
      <x:c r="K13" s="170" t="n">
        <x:v>3</x:v>
      </x:c>
      <x:c r="L13" s="170" t="n">
        <x:v>3</x:v>
      </x:c>
      <x:c r="M13" s="170" t="n">
        <x:v>3</x:v>
      </x:c>
      <x:c r="N13" s="170" t="n">
        <x:v>3</x:v>
      </x:c>
      <x:c r="O13" s="170" t="n">
        <x:v>2</x:v>
      </x:c>
      <x:c r="P13" s="170" t="n">
        <x:v>4</x:v>
      </x:c>
      <x:c r="Q13" s="170" t="n">
        <x:v>4</x:v>
      </x:c>
      <x:c r="R13" s="170" t="n">
        <x:v>4</x:v>
      </x:c>
      <x:c r="S13" s="170" t="n">
        <x:v>3</x:v>
      </x:c>
      <x:c r="T13" s="170" t="n">
        <x:v>3</x:v>
      </x:c>
      <x:c r="U13" s="170" t="n">
        <x:v>3</x:v>
      </x:c>
      <x:c r="V13" s="170" t="n">
        <x:v>4</x:v>
      </x:c>
      <x:c r="W13" s="176" t="n">
        <x:f>ROUND(SUMPRODUCT(G13:V13,'Scoring Guide'!$B$43:$Q$43),2)</x:f>
        <x:v>3.46</x:v>
      </x:c>
    </x:row>
    <x:row r="14">
      <x:c r="A14" s="160" t="str">
        <x:v>K09</x:v>
      </x:c>
      <x:c r="B14" s="161" t="str">
        <x:v>Tim 4–5 Orang</x:v>
      </x:c>
      <x:c r="C14" s="161" t="str">
        <x:v>Ukuran tim</x:v>
      </x:c>
      <x:c r="D14" s="161" t="str">
        <x:v>PILIH</x:v>
      </x:c>
      <x:c r="E14" s="161" t="str">
        <x:v>2-4 jam owner</x:v>
      </x:c>
      <x:c r="F14" s="161" t="str">
        <x:v>4-5 orang</x:v>
      </x:c>
      <x:c r="G14" s="170" t="n">
        <x:v>4</x:v>
      </x:c>
      <x:c r="H14" s="170" t="n">
        <x:v>4</x:v>
      </x:c>
      <x:c r="I14" s="170" t="n">
        <x:v>4</x:v>
      </x:c>
      <x:c r="J14" s="170" t="n">
        <x:v>4</x:v>
      </x:c>
      <x:c r="K14" s="170" t="n">
        <x:v>3</x:v>
      </x:c>
      <x:c r="L14" s="170" t="n">
        <x:v>5</x:v>
      </x:c>
      <x:c r="M14" s="170" t="n">
        <x:v>4</x:v>
      </x:c>
      <x:c r="N14" s="170" t="n">
        <x:v>4</x:v>
      </x:c>
      <x:c r="O14" s="170" t="n">
        <x:v>3</x:v>
      </x:c>
      <x:c r="P14" s="170" t="n">
        <x:v>4</x:v>
      </x:c>
      <x:c r="Q14" s="170" t="n">
        <x:v>4</x:v>
      </x:c>
      <x:c r="R14" s="170" t="n">
        <x:v>4</x:v>
      </x:c>
      <x:c r="S14" s="170" t="n">
        <x:v>4</x:v>
      </x:c>
      <x:c r="T14" s="170" t="n">
        <x:v>4</x:v>
      </x:c>
      <x:c r="U14" s="170" t="n">
        <x:v>5</x:v>
      </x:c>
      <x:c r="V14" s="170" t="n">
        <x:v>4</x:v>
      </x:c>
      <x:c r="W14" s="176" t="n">
        <x:f>ROUND(SUMPRODUCT(G14:V14,'Scoring Guide'!$B$43:$Q$43),2)</x:f>
        <x:v>4.04</x:v>
      </x:c>
    </x:row>
    <x:row r="15">
      <x:c r="A15" s="160" t="str">
        <x:v>K10</x:v>
      </x:c>
      <x:c r="B15" s="161" t="str">
        <x:v>Tim 6–7 Orang</x:v>
      </x:c>
      <x:c r="C15" s="161" t="str">
        <x:v>Ukuran tim</x:v>
      </x:c>
      <x:c r="D15" s="161" t="str">
        <x:v>CONTROLLED GROWTH</x:v>
      </x:c>
      <x:c r="E15" s="161" t="str">
        <x:v>2-4 jam owner</x:v>
      </x:c>
      <x:c r="F15" s="161" t="str">
        <x:v>6-7 orang</x:v>
      </x:c>
      <x:c r="G15" s="170" t="n">
        <x:v>5</x:v>
      </x:c>
      <x:c r="H15" s="170" t="n">
        <x:v>4</x:v>
      </x:c>
      <x:c r="I15" s="170" t="n">
        <x:v>4</x:v>
      </x:c>
      <x:c r="J15" s="170" t="n">
        <x:v>3</x:v>
      </x:c>
      <x:c r="K15" s="170" t="n">
        <x:v>3</x:v>
      </x:c>
      <x:c r="L15" s="170" t="n">
        <x:v>4</x:v>
      </x:c>
      <x:c r="M15" s="170" t="n">
        <x:v>5</x:v>
      </x:c>
      <x:c r="N15" s="170" t="n">
        <x:v>4</x:v>
      </x:c>
      <x:c r="O15" s="170" t="n">
        <x:v>3</x:v>
      </x:c>
      <x:c r="P15" s="170" t="n">
        <x:v>5</x:v>
      </x:c>
      <x:c r="Q15" s="170" t="n">
        <x:v>5</x:v>
      </x:c>
      <x:c r="R15" s="170" t="n">
        <x:v>3</x:v>
      </x:c>
      <x:c r="S15" s="170" t="n">
        <x:v>3</x:v>
      </x:c>
      <x:c r="T15" s="170" t="n">
        <x:v>3</x:v>
      </x:c>
      <x:c r="U15" s="170" t="n">
        <x:v>3</x:v>
      </x:c>
      <x:c r="V15" s="170" t="n">
        <x:v>5</x:v>
      </x:c>
      <x:c r="W15" s="176" t="n">
        <x:f>ROUND(SUMPRODUCT(G15:V15,'Scoring Guide'!$B$43:$Q$43),2)</x:f>
        <x:v>3.97</x:v>
      </x:c>
    </x:row>
    <x:row r="16">
      <x:c r="A16" s="160" t="str">
        <x:v>K11</x:v>
      </x:c>
      <x:c r="B16" s="161" t="str">
        <x:v>Tim 8–10 Orang</x:v>
      </x:c>
      <x:c r="C16" s="161" t="str">
        <x:v>Ukuran tim</x:v>
      </x:c>
      <x:c r="D16" s="161" t="str">
        <x:v>TOLAK untuk sekarang</x:v>
      </x:c>
      <x:c r="E16" s="161" t="str">
        <x:v>4 jam+ management risk</x:v>
      </x:c>
      <x:c r="F16" s="161" t="str">
        <x:v>8-10 orang</x:v>
      </x:c>
      <x:c r="G16" s="170" t="n">
        <x:v>5</x:v>
      </x:c>
      <x:c r="H16" s="170" t="n">
        <x:v>3</x:v>
      </x:c>
      <x:c r="I16" s="170" t="n">
        <x:v>3</x:v>
      </x:c>
      <x:c r="J16" s="170" t="n">
        <x:v>2</x:v>
      </x:c>
      <x:c r="K16" s="170" t="n">
        <x:v>2</x:v>
      </x:c>
      <x:c r="L16" s="170" t="n">
        <x:v>4</x:v>
      </x:c>
      <x:c r="M16" s="170" t="n">
        <x:v>5</x:v>
      </x:c>
      <x:c r="N16" s="170" t="n">
        <x:v>4</x:v>
      </x:c>
      <x:c r="O16" s="170" t="n">
        <x:v>3</x:v>
      </x:c>
      <x:c r="P16" s="170" t="n">
        <x:v>5</x:v>
      </x:c>
      <x:c r="Q16" s="170" t="n">
        <x:v>5</x:v>
      </x:c>
      <x:c r="R16" s="170" t="n">
        <x:v>2</x:v>
      </x:c>
      <x:c r="S16" s="170" t="n">
        <x:v>2</x:v>
      </x:c>
      <x:c r="T16" s="170" t="n">
        <x:v>2</x:v>
      </x:c>
      <x:c r="U16" s="170" t="n">
        <x:v>1</x:v>
      </x:c>
      <x:c r="V16" s="170" t="n">
        <x:v>5</x:v>
      </x:c>
      <x:c r="W16" s="176" t="n">
        <x:f>ROUND(SUMPRODUCT(G16:V16,'Scoring Guide'!$B$43:$Q$43),2)</x:f>
        <x:v>3.38</x:v>
      </x:c>
    </x:row>
    <x:row r="17">
      <x:c r="A17" s="160" t="str">
        <x:v>K12</x:v>
      </x:c>
      <x:c r="B17" s="161" t="str">
        <x:v>Model Sangat Spesialis</x:v>
      </x:c>
      <x:c r="C17" s="161" t="str">
        <x:v>Tipe/model</x:v>
      </x:c>
      <x:c r="D17" s="161" t="str">
        <x:v>PILIH niche compliance</x:v>
      </x:c>
      <x:c r="E17" s="161" t="str">
        <x:v>2 jam owner</x:v>
      </x:c>
      <x:c r="F17" s="161" t="str">
        <x:v>4 orang</x:v>
      </x:c>
      <x:c r="G17" s="170" t="n">
        <x:v>3</x:v>
      </x:c>
      <x:c r="H17" s="170" t="n">
        <x:v>5</x:v>
      </x:c>
      <x:c r="I17" s="170" t="n">
        <x:v>5</x:v>
      </x:c>
      <x:c r="J17" s="170" t="n">
        <x:v>5</x:v>
      </x:c>
      <x:c r="K17" s="170" t="n">
        <x:v>4</x:v>
      </x:c>
      <x:c r="L17" s="170" t="n">
        <x:v>5</x:v>
      </x:c>
      <x:c r="M17" s="170" t="n">
        <x:v>4</x:v>
      </x:c>
      <x:c r="N17" s="170" t="n">
        <x:v>4</x:v>
      </x:c>
      <x:c r="O17" s="170" t="n">
        <x:v>4</x:v>
      </x:c>
      <x:c r="P17" s="170" t="n">
        <x:v>5</x:v>
      </x:c>
      <x:c r="Q17" s="170" t="n">
        <x:v>5</x:v>
      </x:c>
      <x:c r="R17" s="170" t="n">
        <x:v>4</x:v>
      </x:c>
      <x:c r="S17" s="170" t="n">
        <x:v>4</x:v>
      </x:c>
      <x:c r="T17" s="170" t="n">
        <x:v>5</x:v>
      </x:c>
      <x:c r="U17" s="170" t="n">
        <x:v>5</x:v>
      </x:c>
      <x:c r="V17" s="170" t="n">
        <x:v>3</x:v>
      </x:c>
      <x:c r="W17" s="176" t="n">
        <x:f>ROUND(SUMPRODUCT(G17:V17,'Scoring Guide'!$B$43:$Q$43),2)</x:f>
        <x:v>4.4</x:v>
      </x:c>
    </x:row>
    <x:row r="18">
      <x:c r="A18" s="160" t="str">
        <x:v>K13</x:v>
      </x:c>
      <x:c r="B18" s="161" t="str">
        <x:v>Model High-Ticket Boutique</x:v>
      </x:c>
      <x:c r="C18" s="161" t="str">
        <x:v>Tipe/model</x:v>
      </x:c>
      <x:c r="D18" s="161" t="str">
        <x:v>PILIH — rekomendasi utama</x:v>
      </x:c>
      <x:c r="E18" s="161" t="str">
        <x:v>2 jam default; 4 jam hanya expansion gate</x:v>
      </x:c>
      <x:c r="F18" s="161" t="str">
        <x:v>4-5 orang</x:v>
      </x:c>
      <x:c r="G18" s="170" t="n">
        <x:v>5</x:v>
      </x:c>
      <x:c r="H18" s="170" t="n">
        <x:v>5</x:v>
      </x:c>
      <x:c r="I18" s="170" t="n">
        <x:v>4</x:v>
      </x:c>
      <x:c r="J18" s="170" t="n">
        <x:v>4</x:v>
      </x:c>
      <x:c r="K18" s="170" t="n">
        <x:v>3</x:v>
      </x:c>
      <x:c r="L18" s="170" t="n">
        <x:v>4</x:v>
      </x:c>
      <x:c r="M18" s="170" t="n">
        <x:v>4</x:v>
      </x:c>
      <x:c r="N18" s="170" t="n">
        <x:v>4</x:v>
      </x:c>
      <x:c r="O18" s="170" t="n">
        <x:v>3</x:v>
      </x:c>
      <x:c r="P18" s="170" t="n">
        <x:v>5</x:v>
      </x:c>
      <x:c r="Q18" s="170" t="n">
        <x:v>5</x:v>
      </x:c>
      <x:c r="R18" s="170" t="n">
        <x:v>4</x:v>
      </x:c>
      <x:c r="S18" s="170" t="n">
        <x:v>4</x:v>
      </x:c>
      <x:c r="T18" s="170" t="n">
        <x:v>4</x:v>
      </x:c>
      <x:c r="U18" s="170" t="n">
        <x:v>4</x:v>
      </x:c>
      <x:c r="V18" s="170" t="n">
        <x:v>4</x:v>
      </x:c>
      <x:c r="W18" s="176" t="n">
        <x:f>ROUND(SUMPRODUCT(G18:V18,'Scoring Guide'!$B$43:$Q$43),2)</x:f>
        <x:v>4.2</x:v>
      </x:c>
    </x:row>
    <x:row r="19">
      <x:c r="A19" s="160" t="str">
        <x:v>K14</x:v>
      </x:c>
      <x:c r="B19" s="161" t="str">
        <x:v>Model Perizinan Industri dan Pabrik</x:v>
      </x:c>
      <x:c r="C19" s="161" t="str">
        <x:v>Tipe/model</x:v>
      </x:c>
      <x:c r="D19" s="161" t="str">
        <x:v>UJI setelah partner proof</x:v>
      </x:c>
      <x:c r="E19" s="161" t="str">
        <x:v>4 jam owner</x:v>
      </x:c>
      <x:c r="F19" s="161" t="str">
        <x:v>6-7 orang + partners</x:v>
      </x:c>
      <x:c r="G19" s="170" t="n">
        <x:v>5</x:v>
      </x:c>
      <x:c r="H19" s="170" t="n">
        <x:v>5</x:v>
      </x:c>
      <x:c r="I19" s="170" t="n">
        <x:v>3</x:v>
      </x:c>
      <x:c r="J19" s="170" t="n">
        <x:v>2</x:v>
      </x:c>
      <x:c r="K19" s="170" t="n">
        <x:v>2</x:v>
      </x:c>
      <x:c r="L19" s="170" t="n">
        <x:v>3</x:v>
      </x:c>
      <x:c r="M19" s="170" t="n">
        <x:v>3</x:v>
      </x:c>
      <x:c r="N19" s="170" t="n">
        <x:v>2</x:v>
      </x:c>
      <x:c r="O19" s="170" t="n">
        <x:v>1</x:v>
      </x:c>
      <x:c r="P19" s="170" t="n">
        <x:v>4</x:v>
      </x:c>
      <x:c r="Q19" s="170" t="n">
        <x:v>5</x:v>
      </x:c>
      <x:c r="R19" s="170" t="n">
        <x:v>2</x:v>
      </x:c>
      <x:c r="S19" s="170" t="n">
        <x:v>2</x:v>
      </x:c>
      <x:c r="T19" s="170" t="n">
        <x:v>2</x:v>
      </x:c>
      <x:c r="U19" s="170" t="n">
        <x:v>2</x:v>
      </x:c>
      <x:c r="V19" s="170" t="n">
        <x:v>3</x:v>
      </x:c>
      <x:c r="W19" s="176" t="n">
        <x:f>ROUND(SUMPRODUCT(G19:V19,'Scoring Guide'!$B$43:$Q$43),2)</x:f>
        <x:v>3.1</x:v>
      </x:c>
    </x:row>
    <x:row r="20">
      <x:c r="A20" s="160" t="str">
        <x:v>K15</x:v>
      </x:c>
      <x:c r="B20" s="161" t="str">
        <x:v>Model Compliance Retainer</x:v>
      </x:c>
      <x:c r="C20" s="161" t="str">
        <x:v>Tipe/model</x:v>
      </x:c>
      <x:c r="D20" s="161" t="str">
        <x:v>PILIH — paling lean/mudah</x:v>
      </x:c>
      <x:c r="E20" s="161" t="str">
        <x:v>2 jam owner</x:v>
      </x:c>
      <x:c r="F20" s="161" t="str">
        <x:v>4-5 orang</x:v>
      </x:c>
      <x:c r="G20" s="170" t="n">
        <x:v>4</x:v>
      </x:c>
      <x:c r="H20" s="170" t="n">
        <x:v>5</x:v>
      </x:c>
      <x:c r="I20" s="170" t="n">
        <x:v>5</x:v>
      </x:c>
      <x:c r="J20" s="170" t="n">
        <x:v>5</x:v>
      </x:c>
      <x:c r="K20" s="170" t="n">
        <x:v>4</x:v>
      </x:c>
      <x:c r="L20" s="170" t="n">
        <x:v>5</x:v>
      </x:c>
      <x:c r="M20" s="170" t="n">
        <x:v>5</x:v>
      </x:c>
      <x:c r="N20" s="170" t="n">
        <x:v>5</x:v>
      </x:c>
      <x:c r="O20" s="170" t="n">
        <x:v>4</x:v>
      </x:c>
      <x:c r="P20" s="170" t="n">
        <x:v>5</x:v>
      </x:c>
      <x:c r="Q20" s="170" t="n">
        <x:v>5</x:v>
      </x:c>
      <x:c r="R20" s="170" t="n">
        <x:v>4</x:v>
      </x:c>
      <x:c r="S20" s="170" t="n">
        <x:v>2</x:v>
      </x:c>
      <x:c r="T20" s="170" t="n">
        <x:v>4</x:v>
      </x:c>
      <x:c r="U20" s="170" t="n">
        <x:v>5</x:v>
      </x:c>
      <x:c r="V20" s="170" t="n">
        <x:v>5</x:v>
      </x:c>
      <x:c r="W20" s="176" t="n">
        <x:f>ROUND(SUMPRODUCT(G20:V20,'Scoring Guide'!$B$43:$Q$43),2)</x:f>
        <x:v>4.59</x:v>
      </x:c>
    </x:row>
    <x:row r="21">
      <x:c r="A21" s="160" t="str">
        <x:v>K16</x:v>
      </x:c>
      <x:c r="B21" s="161" t="str">
        <x:v>Front-End Consultant + Eksekusi Partner</x:v>
      </x:c>
      <x:c r="C21" s="161" t="str">
        <x:v>Model pengerjaan</x:v>
      </x:c>
      <x:c r="D21" s="161" t="str">
        <x:v>PILIH sebagai delivery layer</x:v>
      </x:c>
      <x:c r="E21" s="161" t="str">
        <x:v>2 jam owner</x:v>
      </x:c>
      <x:c r="F21" s="161" t="str">
        <x:v>4 orang + partners</x:v>
      </x:c>
      <x:c r="G21" s="170" t="n">
        <x:v>5</x:v>
      </x:c>
      <x:c r="H21" s="170" t="n">
        <x:v>4</x:v>
      </x:c>
      <x:c r="I21" s="170" t="n">
        <x:v>5</x:v>
      </x:c>
      <x:c r="J21" s="170" t="n">
        <x:v>4</x:v>
      </x:c>
      <x:c r="K21" s="170" t="n">
        <x:v>3</x:v>
      </x:c>
      <x:c r="L21" s="170" t="n">
        <x:v>4</x:v>
      </x:c>
      <x:c r="M21" s="170" t="n">
        <x:v>5</x:v>
      </x:c>
      <x:c r="N21" s="170" t="n">
        <x:v>4</x:v>
      </x:c>
      <x:c r="O21" s="170" t="n">
        <x:v>1</x:v>
      </x:c>
      <x:c r="P21" s="170" t="n">
        <x:v>4</x:v>
      </x:c>
      <x:c r="Q21" s="170" t="n">
        <x:v>4</x:v>
      </x:c>
      <x:c r="R21" s="170" t="n">
        <x:v>4</x:v>
      </x:c>
      <x:c r="S21" s="170" t="n">
        <x:v>4</x:v>
      </x:c>
      <x:c r="T21" s="170" t="n">
        <x:v>4</x:v>
      </x:c>
      <x:c r="U21" s="170" t="n">
        <x:v>5</x:v>
      </x:c>
      <x:c r="V21" s="170" t="n">
        <x:v>5</x:v>
      </x:c>
      <x:c r="W21" s="176" t="n">
        <x:f>ROUND(SUMPRODUCT(G21:V21,'Scoring Guide'!$B$43:$Q$43),2)</x:f>
        <x:v>4.23</x:v>
      </x:c>
    </x:row>
    <x:row r="22">
      <x:c r="A22" s="160" t="str">
        <x:v>K17</x:v>
      </x:c>
      <x:c r="B22" s="161" t="str">
        <x:v>Digital Platform Legal-Ready</x:v>
      </x:c>
      <x:c r="C22" s="161" t="str">
        <x:v>Tipe/model</x:v>
      </x:c>
      <x:c r="D22" s="161" t="str">
        <x:v>EKSPERIMENTAL</x:v>
      </x:c>
      <x:c r="E22" s="161" t="str">
        <x:v>2-4 jam owner</x:v>
      </x:c>
      <x:c r="F22" s="161" t="str">
        <x:v>4-5 orang + legal partners</x:v>
      </x:c>
      <x:c r="G22" s="170" t="n">
        <x:v>4</x:v>
      </x:c>
      <x:c r="H22" s="170" t="n">
        <x:v>4</x:v>
      </x:c>
      <x:c r="I22" s="170" t="n">
        <x:v>3</x:v>
      </x:c>
      <x:c r="J22" s="170" t="n">
        <x:v>3</x:v>
      </x:c>
      <x:c r="K22" s="170" t="n">
        <x:v>2</x:v>
      </x:c>
      <x:c r="L22" s="170" t="n">
        <x:v>3</x:v>
      </x:c>
      <x:c r="M22" s="170" t="n">
        <x:v>3</x:v>
      </x:c>
      <x:c r="N22" s="170" t="n">
        <x:v>3</x:v>
      </x:c>
      <x:c r="O22" s="170" t="n">
        <x:v>2</x:v>
      </x:c>
      <x:c r="P22" s="170" t="n">
        <x:v>4</x:v>
      </x:c>
      <x:c r="Q22" s="170" t="n">
        <x:v>5</x:v>
      </x:c>
      <x:c r="R22" s="170" t="n">
        <x:v>3</x:v>
      </x:c>
      <x:c r="S22" s="170" t="n">
        <x:v>2</x:v>
      </x:c>
      <x:c r="T22" s="170" t="n">
        <x:v>3</x:v>
      </x:c>
      <x:c r="U22" s="170" t="n">
        <x:v>3</x:v>
      </x:c>
      <x:c r="V22" s="170" t="n">
        <x:v>4</x:v>
      </x:c>
      <x:c r="W22" s="176" t="n">
        <x:f>ROUND(SUMPRODUCT(G22:V22,'Scoring Guide'!$B$43:$Q$43),2)</x:f>
        <x:v>3.26</x:v>
      </x:c>
    </x:row>
    <x:row r="23">
      <x:c r="A23" s="163" t="str">
        <x:v>K18</x:v>
      </x:c>
      <x:c r="B23" s="164" t="str">
        <x:v>Project Permit Complete</x:v>
      </x:c>
      <x:c r="C23" s="164" t="str">
        <x:v>Tipe/model</x:v>
      </x:c>
      <x:c r="D23" s="164" t="str">
        <x:v>TOLAK untuk lean launch</x:v>
      </x:c>
      <x:c r="E23" s="164" t="str">
        <x:v>4 jam+ owner</x:v>
      </x:c>
      <x:c r="F23" s="164" t="str">
        <x:v>7-10 orang + partners</x:v>
      </x:c>
      <x:c r="G23" s="171" t="n">
        <x:v>5</x:v>
      </x:c>
      <x:c r="H23" s="171" t="n">
        <x:v>4</x:v>
      </x:c>
      <x:c r="I23" s="171" t="n">
        <x:v>2</x:v>
      </x:c>
      <x:c r="J23" s="171" t="n">
        <x:v>1</x:v>
      </x:c>
      <x:c r="K23" s="171" t="n">
        <x:v>1</x:v>
      </x:c>
      <x:c r="L23" s="171" t="n">
        <x:v>2</x:v>
      </x:c>
      <x:c r="M23" s="171" t="n">
        <x:v>2</x:v>
      </x:c>
      <x:c r="N23" s="171" t="n">
        <x:v>1</x:v>
      </x:c>
      <x:c r="O23" s="171" t="n">
        <x:v>1</x:v>
      </x:c>
      <x:c r="P23" s="171" t="n">
        <x:v>3</x:v>
      </x:c>
      <x:c r="Q23" s="171" t="n">
        <x:v>5</x:v>
      </x:c>
      <x:c r="R23" s="171" t="n">
        <x:v>2</x:v>
      </x:c>
      <x:c r="S23" s="171" t="n">
        <x:v>1</x:v>
      </x:c>
      <x:c r="T23" s="171" t="n">
        <x:v>1</x:v>
      </x:c>
      <x:c r="U23" s="171" t="n">
        <x:v>1</x:v>
      </x:c>
      <x:c r="V23" s="171" t="n">
        <x:v>2</x:v>
      </x:c>
      <x:c r="W23" s="177" t="n">
        <x:f>ROUND(SUMPRODUCT(G23:V23,'Scoring Guide'!$B$43:$Q$43),2)</x:f>
        <x:v>2.32</x:v>
      </x:c>
    </x:row>
  </x:sheetData>
  <x:mergeCells>
    <x:mergeCell ref="A1:W1"/>
    <x:mergeCell ref="A2:W2"/>
    <x:mergeCell ref="A3:W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24" hidden="0" customWidth="1"/>
    <x:col min="5" max="5" width="40" hidden="0" customWidth="1"/>
    <x:col min="6" max="6" width="32" hidden="0" customWidth="1"/>
    <x:col min="7" max="7" width="30" hidden="0" customWidth="1"/>
    <x:col min="8" max="8" width="12" hidden="0" customWidth="1"/>
    <x:col min="9" max="9" width="34" hidden="0" customWidth="1"/>
    <x:col min="10" max="10" width="38" hidden="0" customWidth="1"/>
    <x:col min="11" max="11" width="20" hidden="0" customWidth="1"/>
    <x:col min="12" max="12" width="42" hidden="0" customWidth="1"/>
    <x:col min="13" max="13" width="24" hidden="0" customWidth="1"/>
    <x:col min="14" max="14" width="32" hidden="0" customWidth="1"/>
    <x:col min="15" max="15" width="16" hidden="0" customWidth="1"/>
    <x:col min="16" max="16" width="34" hidden="0" customWidth="1"/>
    <x:col min="17" max="17" width="18" hidden="0" customWidth="1"/>
    <x:col min="18" max="18" width="18" hidden="0" customWidth="1"/>
    <x:col min="19" max="19" width="24" hidden="0" customWidth="1"/>
    <x:col min="20" max="20" width="18" hidden="0" customWidth="1"/>
    <x:col min="21" max="21" width="18" hidden="0" customWidth="1"/>
    <x:col min="22" max="22" width="18" hidden="0" customWidth="1"/>
    <x:col min="23" max="23" width="14" hidden="0" customWidth="1"/>
    <x:col min="24" max="24" width="16" hidden="0" customWidth="1"/>
    <x:col min="25" max="25" width="38" hidden="0" customWidth="1"/>
    <x:col min="26" max="26" width="38" hidden="0" customWidth="1"/>
    <x:col min="27" max="27" width="40" hidden="0" customWidth="1"/>
    <x:col min="28" max="28" width="40" hidden="0" customWidth="1"/>
    <x:col min="29" max="29" width="38" hidden="0" customWidth="1"/>
    <x:col min="30" max="30" width="14" hidden="0" customWidth="1"/>
  </x:cols>
  <x:sheetData>
    <x:row r="1" ht="34" customHeight="1">
      <x:c r="A1" s="4" t="str">
        <x:v>Scenario Operating Details</x:v>
      </x:c>
      <x:c r="B1" s="4" t="str">
        <x:v>Scenario Operating Details</x:v>
      </x:c>
      <x:c r="C1" s="4" t="str">
        <x:v>Scenario Operating Details</x:v>
      </x:c>
      <x:c r="D1" s="4" t="str">
        <x:v>Scenario Operating Details</x:v>
      </x:c>
      <x:c r="E1" s="4" t="str">
        <x:v>Scenario Operating Details</x:v>
      </x:c>
      <x:c r="F1" s="4" t="str">
        <x:v>Scenario Operating Details</x:v>
      </x:c>
      <x:c r="G1" s="4" t="str">
        <x:v>Scenario Operating Details</x:v>
      </x:c>
      <x:c r="H1" s="4" t="str">
        <x:v>Scenario Operating Details</x:v>
      </x:c>
      <x:c r="I1" s="4" t="str">
        <x:v>Scenario Operating Details</x:v>
      </x:c>
      <x:c r="J1" s="4" t="str">
        <x:v>Scenario Operating Details</x:v>
      </x:c>
      <x:c r="K1" s="4" t="str">
        <x:v>Scenario Operating Details</x:v>
      </x:c>
      <x:c r="L1" s="4" t="str">
        <x:v>Scenario Operating Details</x:v>
      </x:c>
      <x:c r="M1" s="4" t="str">
        <x:v>Scenario Operating Details</x:v>
      </x:c>
      <x:c r="N1" s="4" t="str">
        <x:v>Scenario Operating Details</x:v>
      </x:c>
      <x:c r="O1" s="4" t="str">
        <x:v>Scenario Operating Details</x:v>
      </x:c>
      <x:c r="P1" s="4" t="str">
        <x:v>Scenario Operating Details</x:v>
      </x:c>
      <x:c r="Q1" s="4" t="str">
        <x:v>Scenario Operating Details</x:v>
      </x:c>
      <x:c r="R1" s="4" t="str">
        <x:v>Scenario Operating Details</x:v>
      </x:c>
      <x:c r="S1" s="4" t="str">
        <x:v>Scenario Operating Details</x:v>
      </x:c>
      <x:c r="T1" s="4" t="str">
        <x:v>Scenario Operating Details</x:v>
      </x:c>
      <x:c r="U1" s="4" t="str">
        <x:v>Scenario Operating Details</x:v>
      </x:c>
      <x:c r="V1" s="4" t="str">
        <x:v>Scenario Operating Details</x:v>
      </x:c>
      <x:c r="W1" s="4" t="str">
        <x:v>Scenario Operating Details</x:v>
      </x:c>
      <x:c r="X1" s="4" t="str">
        <x:v>Scenario Operating Details</x:v>
      </x:c>
      <x:c r="Y1" s="4" t="str">
        <x:v>Scenario Operating Details</x:v>
      </x:c>
      <x:c r="Z1" s="4" t="str">
        <x:v>Scenario Operating Details</x:v>
      </x:c>
      <x:c r="AA1" s="4" t="str">
        <x:v>Scenario Operating Details</x:v>
      </x:c>
      <x:c r="AB1" s="4" t="str">
        <x:v>Scenario Operating Details</x:v>
      </x:c>
      <x:c r="AC1" s="4" t="str">
        <x:v>Scenario Operating Details</x:v>
      </x:c>
      <x:c r="AD1" s="4" t="str">
        <x:v>Scenario Operating Details</x:v>
      </x:c>
    </x:row>
    <x:row r="2" ht="28" customHeight="1">
      <x:c r="A2" s="7" t="str">
        <x:v>All requested scenario fields.</x:v>
      </x:c>
      <x:c r="B2" s="7" t="str">
        <x:v>All requested scenario fields.</x:v>
      </x:c>
      <x:c r="C2" s="7" t="str">
        <x:v>All requested scenario fields.</x:v>
      </x:c>
      <x:c r="D2" s="7" t="str">
        <x:v>All requested scenario fields.</x:v>
      </x:c>
      <x:c r="E2" s="7" t="str">
        <x:v>All requested scenario fields.</x:v>
      </x:c>
      <x:c r="F2" s="7" t="str">
        <x:v>All requested scenario fields.</x:v>
      </x:c>
      <x:c r="G2" s="7" t="str">
        <x:v>All requested scenario fields.</x:v>
      </x:c>
      <x:c r="H2" s="7" t="str">
        <x:v>All requested scenario fields.</x:v>
      </x:c>
      <x:c r="I2" s="7" t="str">
        <x:v>All requested scenario fields.</x:v>
      </x:c>
      <x:c r="J2" s="7" t="str">
        <x:v>All requested scenario fields.</x:v>
      </x:c>
      <x:c r="K2" s="7" t="str">
        <x:v>All requested scenario fields.</x:v>
      </x:c>
      <x:c r="L2" s="7" t="str">
        <x:v>All requested scenario fields.</x:v>
      </x:c>
      <x:c r="M2" s="7" t="str">
        <x:v>All requested scenario fields.</x:v>
      </x:c>
      <x:c r="N2" s="7" t="str">
        <x:v>All requested scenario fields.</x:v>
      </x:c>
      <x:c r="O2" s="7" t="str">
        <x:v>All requested scenario fields.</x:v>
      </x:c>
      <x:c r="P2" s="7" t="str">
        <x:v>All requested scenario fields.</x:v>
      </x:c>
      <x:c r="Q2" s="7" t="str">
        <x:v>All requested scenario fields.</x:v>
      </x:c>
      <x:c r="R2" s="7" t="str">
        <x:v>All requested scenario fields.</x:v>
      </x:c>
      <x:c r="S2" s="7" t="str">
        <x:v>All requested scenario fields.</x:v>
      </x:c>
      <x:c r="T2" s="7" t="str">
        <x:v>All requested scenario fields.</x:v>
      </x:c>
      <x:c r="U2" s="7" t="str">
        <x:v>All requested scenario fields.</x:v>
      </x:c>
      <x:c r="V2" s="7" t="str">
        <x:v>All requested scenario fields.</x:v>
      </x:c>
      <x:c r="W2" s="7" t="str">
        <x:v>All requested scenario fields.</x:v>
      </x:c>
      <x:c r="X2" s="7" t="str">
        <x:v>All requested scenario fields.</x:v>
      </x:c>
      <x:c r="Y2" s="7" t="str">
        <x:v>All requested scenario fields.</x:v>
      </x:c>
      <x:c r="Z2" s="7" t="str">
        <x:v>All requested scenario fields.</x:v>
      </x:c>
      <x:c r="AA2" s="7" t="str">
        <x:v>All requested scenario fields.</x:v>
      </x:c>
      <x:c r="AB2" s="7" t="str">
        <x:v>All requested scenario fields.</x:v>
      </x:c>
      <x:c r="AC2" s="7" t="str">
        <x:v>All requested scenario fields.</x:v>
      </x:c>
      <x:c r="AD2" s="7" t="str">
        <x:v>All requested scenario fields.</x:v>
      </x:c>
    </x:row>
    <x:row r="3" ht="30" customHeight="1">
      <x:c r="A3" s="10" t="str">
        <x:v>Capacity is qualitative; no utilization data exists.</x:v>
      </x:c>
      <x:c r="B3" s="10" t="str">
        <x:v>Capacity is qualitative; no utilization data exists.</x:v>
      </x:c>
      <x:c r="C3" s="10" t="str">
        <x:v>Capacity is qualitative; no utilization data exists.</x:v>
      </x:c>
      <x:c r="D3" s="10" t="str">
        <x:v>Capacity is qualitative; no utilization data exists.</x:v>
      </x:c>
      <x:c r="E3" s="10" t="str">
        <x:v>Capacity is qualitative; no utilization data exists.</x:v>
      </x:c>
      <x:c r="F3" s="10" t="str">
        <x:v>Capacity is qualitative; no utilization data exists.</x:v>
      </x:c>
      <x:c r="G3" s="10" t="str">
        <x:v>Capacity is qualitative; no utilization data exists.</x:v>
      </x:c>
      <x:c r="H3" s="10" t="str">
        <x:v>Capacity is qualitative; no utilization data exists.</x:v>
      </x:c>
      <x:c r="I3" s="10" t="str">
        <x:v>Capacity is qualitative; no utilization data exists.</x:v>
      </x:c>
      <x:c r="J3" s="10" t="str">
        <x:v>Capacity is qualitative; no utilization data exists.</x:v>
      </x:c>
      <x:c r="K3" s="10" t="str">
        <x:v>Capacity is qualitative; no utilization data exists.</x:v>
      </x:c>
      <x:c r="L3" s="10" t="str">
        <x:v>Capacity is qualitative; no utilization data exists.</x:v>
      </x:c>
      <x:c r="M3" s="10" t="str">
        <x:v>Capacity is qualitative; no utilization data exists.</x:v>
      </x:c>
      <x:c r="N3" s="10" t="str">
        <x:v>Capacity is qualitative; no utilization data exists.</x:v>
      </x:c>
      <x:c r="O3" s="10" t="str">
        <x:v>Capacity is qualitative; no utilization data exists.</x:v>
      </x:c>
      <x:c r="P3" s="10" t="str">
        <x:v>Capacity is qualitative; no utilization data exists.</x:v>
      </x:c>
      <x:c r="Q3" s="10" t="str">
        <x:v>Capacity is qualitative; no utilization data exists.</x:v>
      </x:c>
      <x:c r="R3" s="10" t="str">
        <x:v>Capacity is qualitative; no utilization data exists.</x:v>
      </x:c>
      <x:c r="S3" s="10" t="str">
        <x:v>Capacity is qualitative; no utilization data exists.</x:v>
      </x:c>
      <x:c r="T3" s="10" t="str">
        <x:v>Capacity is qualitative; no utilization data exists.</x:v>
      </x:c>
      <x:c r="U3" s="10" t="str">
        <x:v>Capacity is qualitative; no utilization data exists.</x:v>
      </x:c>
      <x:c r="V3" s="10" t="str">
        <x:v>Capacity is qualitative; no utilization data exists.</x:v>
      </x:c>
      <x:c r="W3" s="10" t="str">
        <x:v>Capacity is qualitative; no utilization data exists.</x:v>
      </x:c>
      <x:c r="X3" s="10" t="str">
        <x:v>Capacity is qualitative; no utilization data exists.</x:v>
      </x:c>
      <x:c r="Y3" s="10" t="str">
        <x:v>Capacity is qualitative; no utilization data exists.</x:v>
      </x:c>
      <x:c r="Z3" s="10" t="str">
        <x:v>Capacity is qualitative; no utilization data exists.</x:v>
      </x:c>
      <x:c r="AA3" s="10" t="str">
        <x:v>Capacity is qualitative; no utilization data exists.</x:v>
      </x:c>
      <x:c r="AB3" s="10" t="str">
        <x:v>Capacity is qualitative; no utilization data exists.</x:v>
      </x:c>
      <x:c r="AC3" s="10" t="str">
        <x:v>Capacity is qualitative; no utilization data exists.</x:v>
      </x:c>
      <x:c r="AD3" s="10" t="str">
        <x:v>Capacity is qualitative; no utilization data exists.</x:v>
      </x:c>
    </x:row>
    <x:row r="5" ht="34" customHeight="1">
      <x:c r="A5" s="22" t="str">
        <x:v>ID</x:v>
      </x:c>
      <x:c r="B5" s="23" t="str">
        <x:v>Scenario</x:v>
      </x:c>
      <x:c r="C5" s="23" t="str">
        <x:v>Family</x:v>
      </x:c>
      <x:c r="D5" s="23" t="str">
        <x:v>Recommendation</x:v>
      </x:c>
      <x:c r="E5" s="23" t="str">
        <x:v>Description</x:v>
      </x:c>
      <x:c r="F5" s="23" t="str">
        <x:v>Permit types</x:v>
      </x:c>
      <x:c r="G5" s="23" t="str">
        <x:v>Services</x:v>
      </x:c>
      <x:c r="H5" s="23" t="str">
        <x:v>Grades</x:v>
      </x:c>
      <x:c r="I5" s="23" t="str">
        <x:v>Target</x:v>
      </x:c>
      <x:c r="J5" s="23" t="str">
        <x:v>Owner</x:v>
      </x:c>
      <x:c r="K5" s="23" t="str">
        <x:v>Team</x:v>
      </x:c>
      <x:c r="L5" s="23" t="str">
        <x:v>Roles</x:v>
      </x:c>
      <x:c r="M5" s="23" t="str">
        <x:v>Partners</x:v>
      </x:c>
      <x:c r="N5" s="23" t="str">
        <x:v>Automation</x:v>
      </x:c>
      <x:c r="O5" s="23" t="str">
        <x:v>Complexity</x:v>
      </x:c>
      <x:c r="P5" s="23" t="str">
        <x:v>Risk</x:v>
      </x:c>
      <x:c r="Q5" s="23" t="str">
        <x:v>Communication</x:v>
      </x:c>
      <x:c r="R5" s="23" t="str">
        <x:v>Regulation</x:v>
      </x:c>
      <x:c r="S5" s="23" t="str">
        <x:v>Website</x:v>
      </x:c>
      <x:c r="T5" s="23" t="str">
        <x:v>SEO</x:v>
      </x:c>
      <x:c r="U5" s="23" t="str">
        <x:v>YouTube</x:v>
      </x:c>
      <x:c r="V5" s="23" t="str">
        <x:v>Social</x:v>
      </x:c>
      <x:c r="W5" s="23" t="str">
        <x:v>Repeat</x:v>
      </x:c>
      <x:c r="X5" s="23" t="str">
        <x:v>Cross-sell</x:v>
      </x:c>
      <x:c r="Y5" s="23" t="str">
        <x:v>Advantages</x:v>
      </x:c>
      <x:c r="Z5" s="23" t="str">
        <x:v>Disadvantages</x:v>
      </x:c>
      <x:c r="AA5" s="23" t="str">
        <x:v>Success</x:v>
      </x:c>
      <x:c r="AB5" s="23" t="str">
        <x:v>Failure</x:v>
      </x:c>
      <x:c r="AC5" s="23" t="str">
        <x:v>Capacity</x:v>
      </x:c>
      <x:c r="AD5" s="24" t="str">
        <x:v>Score</x:v>
      </x:c>
    </x:row>
    <x:row r="6" ht="48" customHeight="1">
      <x:c r="A6" s="157" t="str">
        <x:v>K01</x:v>
      </x:c>
      <x:c r="B6" s="158" t="str">
        <x:v>2 Jam — Grade A Saja</x:v>
      </x:c>
      <x:c r="C6" s="158" t="str">
        <x:v>Waktu pemilik</x:v>
      </x:c>
      <x:c r="D6" s="158" t="str">
        <x:v>PILIH sebagai opsi aman</x:v>
      </x:c>
      <x:c r="E6" s="158" t="str">
        <x:v>Diagnostic dan recurring compliance tanpa project execution luas.</x:v>
      </x:c>
      <x:c r="F6" s="158" t="str">
        <x:v>Audit/mapping; OSS-RBA alignment; post-permit compliance</x:v>
      </x:c>
      <x:c r="G6" s="158" t="str">
        <x:v>L01, L06, L10, L11, L14</x:v>
      </x:c>
      <x:c r="H6" s="158" t="str">
        <x:v>A</x:v>
      </x:c>
      <x:c r="I6" s="158" t="str">
        <x:v>Decision-maker dan perusahaan dengan gap/obligation nyata</x:v>
      </x:c>
      <x:c r="J6" s="158" t="str">
        <x:v>Maks. 2 jam/hari; Risk gate, scope exception, key consultation; bukan case chasing</x:v>
      </x:c>
      <x:c r="K6" s="158" t="str">
        <x:v>4 orang</x:v>
      </x:c>
      <x:c r="L6" s="158" t="str">
        <x:v>Owner; service lead; analyst; ops/client coordinator</x:v>
      </x:c>
      <x:c r="M6" s="158" t="str">
        <x:v>Reviewer/sector partner on demand</x:v>
      </x:c>
      <x:c r="N6" s="158" t="str">
        <x:v>Intake, checklist, document request, status update, calendar</x:v>
      </x:c>
      <x:c r="O6" s="158" t="str">
        <x:v>Rendah-sedang</x:v>
      </x:c>
      <x:c r="P6" s="158" t="str">
        <x:v>Missed scope/regulatory update</x:v>
      </x:c>
      <x:c r="Q6" s="158" t="str">
        <x:v>Sedang dan terjadwal</x:v>
      </x:c>
      <x:c r="R6" s="158" t="str">
        <x:v>Sedang-tinggi</x:v>
      </x:c>
      <x:c r="S6" s="158" t="str">
        <x:v>8-10 core pages</x:v>
      </x:c>
      <x:c r="T6" s="158" t="str">
        <x:v>3 focused clusters</x:v>
      </x:c>
      <x:c r="U6" s="158" t="str">
        <x:v>1 pillar format reused</x:v>
      </x:c>
      <x:c r="V6" s="158" t="str">
        <x:v>Repurpose only</x:v>
      </x:c>
      <x:c r="W6" s="158" t="str">
        <x:v>Sangat tinggi</x:v>
      </x:c>
      <x:c r="X6" s="158" t="str">
        <x:v>Tinggi</x:v>
      </x:c>
      <x:c r="Y6" s="158" t="str">
        <x:v>Paling mudah distandardisasi dan tidak mengganggu agency</x:v>
      </x:c>
      <x:c r="Z6" s="158" t="str">
        <x:v>Revenue ceiling dan market proof belum ada</x:v>
      </x:c>
      <x:c r="AA6" s="158" t="str">
        <x:v>Paid diagnostic; retainer SOP; WIP cap; reviewer</x:v>
      </x:c>
      <x:c r="AB6" s="158" t="str">
        <x:v>Menerima project kompleks ad hoc</x:v>
      </x:c>
      <x:c r="AC6" s="158" t="str">
        <x:v>Angka klien belum tersedia; gunakan WIP cap berbasis time study</x:v>
      </x:c>
      <x:c r="AD6" s="159" t="n">
        <x:v>4.44</x:v>
      </x:c>
    </x:row>
    <x:row r="7" ht="48" customHeight="1">
      <x:c r="A7" s="160" t="str">
        <x:v>K02</x:v>
      </x:c>
      <x:c r="B7" s="161" t="str">
        <x:v>2 Jam — Grade A dan B Terbatas</x:v>
      </x:c>
      <x:c r="C7" s="161" t="str">
        <x:v>Waktu pemilik</x:v>
      </x:c>
      <x:c r="D7" s="161" t="str">
        <x:v>UJI</x:v>
      </x:c>
      <x:c r="E7" s="161" t="str">
        <x:v>Core A ditambah PT PMA, selected PB UMKU, dan project PM terbatas.</x:v>
      </x:c>
      <x:c r="F7" s="161" t="str">
        <x:v>Core A + establishment/investment + selected sector</x:v>
      </x:c>
      <x:c r="G7" s="161" t="str">
        <x:v>L01,L03,L06,L08,L10,L11,L14,L15</x:v>
      </x:c>
      <x:c r="H7" s="161" t="str">
        <x:v>A+B</x:v>
      </x:c>
      <x:c r="I7" s="161" t="str">
        <x:v>Corporate/investor clients</x:v>
      </x:c>
      <x:c r="J7" s="161" t="str">
        <x:v>Maks. 2 jam/hari; Weekly portfolio review, qualification, high-risk calls</x:v>
      </x:c>
      <x:c r="K7" s="161" t="str">
        <x:v>4-5 orang</x:v>
      </x:c>
      <x:c r="L7" s="161" t="str">
        <x:v>Owner; service lead; 2 analysts/case managers; ops</x:v>
      </x:c>
      <x:c r="M7" s="161" t="str">
        <x:v>Technical/sector partners</x:v>
      </x:c>
      <x:c r="N7" s="161" t="str">
        <x:v>Core workflow + partner SLA tracking</x:v>
      </x:c>
      <x:c r="O7" s="161" t="str">
        <x:v>Sedang</x:v>
      </x:c>
      <x:c r="P7" s="161" t="str">
        <x:v>Scope creep dan partner delay</x:v>
      </x:c>
      <x:c r="Q7" s="161" t="str">
        <x:v>Sedang-tinggi</x:v>
      </x:c>
      <x:c r="R7" s="161" t="str">
        <x:v>Tinggi</x:v>
      </x:c>
      <x:c r="S7" s="161" t="str">
        <x:v>10-13 pages</x:v>
      </x:c>
      <x:c r="T7" s="161" t="str">
        <x:v>4 clusters</x:v>
      </x:c>
      <x:c r="U7" s="161" t="str">
        <x:v>Selective</x:v>
      </x:c>
      <x:c r="V7" s="161" t="str">
        <x:v>Selective</x:v>
      </x:c>
      <x:c r="W7" s="161" t="str">
        <x:v>Tinggi</x:v>
      </x:c>
      <x:c r="X7" s="161" t="str">
        <x:v>Sangat tinggi</x:v>
      </x:c>
      <x:c r="Y7" s="161" t="str">
        <x:v>Upside lebih besar tanpa katalog luas</x:v>
      </x:c>
      <x:c r="Z7" s="161" t="str">
        <x:v>Batas 2 jam mudah jebol jika intake lemah</x:v>
      </x:c>
      <x:c r="AA7" s="161" t="str">
        <x:v>Strict qualification; one B vertical; paid discovery</x:v>
      </x:c>
      <x:c r="AB7" s="161" t="str">
        <x:v>Lebih dari satu vertical B aktif</x:v>
      </x:c>
      <x:c r="AC7" s="161" t="str">
        <x:v>Belum dapat dikuantifikasi; batasi per stage</x:v>
      </x:c>
      <x:c r="AD7" s="162" t="n">
        <x:v>3.93</x:v>
      </x:c>
    </x:row>
    <x:row r="8" ht="48" customHeight="1">
      <x:c r="A8" s="160" t="str">
        <x:v>K03</x:v>
      </x:c>
      <x:c r="B8" s="161" t="str">
        <x:v>2 Jam — Spesialis Satu Tipe Perizinan</x:v>
      </x:c>
      <x:c r="C8" s="161" t="str">
        <x:v>Waktu pemilik</x:v>
      </x:c>
      <x:c r="D8" s="161" t="str">
        <x:v>PILIH jika niche tervalidasi</x:v>
      </x:c>
      <x:c r="E8" s="161" t="str">
        <x:v>Mendominasi satu problem space, direkomendasikan compliance/OSS alignment.</x:v>
      </x:c>
      <x:c r="F8" s="161" t="str">
        <x:v>Satu tipe: compliance atau OSS-RBA alignment</x:v>
      </x:c>
      <x:c r="G8" s="161" t="str">
        <x:v>L06,L10,L11,L14</x:v>
      </x:c>
      <x:c r="H8" s="161" t="str">
        <x:v>A</x:v>
      </x:c>
      <x:c r="I8" s="161" t="str">
        <x:v>Niche corporate yang sama</x:v>
      </x:c>
      <x:c r="J8" s="161" t="str">
        <x:v>Maks. 2 jam/hari; Expert signal, partner and quality governance</x:v>
      </x:c>
      <x:c r="K8" s="161" t="str">
        <x:v>4 orang</x:v>
      </x:c>
      <x:c r="L8" s="161" t="str">
        <x:v>Owner/principal; lead; analyst; coordinator</x:v>
      </x:c>
      <x:c r="M8" s="161" t="str">
        <x:v>Minimal; specialist reviewer</x:v>
      </x:c>
      <x:c r="N8" s="161" t="str">
        <x:v>Highly templated</x:v>
      </x:c>
      <x:c r="O8" s="161" t="str">
        <x:v>Rendah</x:v>
      </x:c>
      <x:c r="P8" s="161" t="str">
        <x:v>Concentration risk</x:v>
      </x:c>
      <x:c r="Q8" s="161" t="str">
        <x:v>Sedang</x:v>
      </x:c>
      <x:c r="R8" s="161" t="str">
        <x:v>Tinggi pada niche</x:v>
      </x:c>
      <x:c r="S8" s="161" t="str">
        <x:v>8-9 pages</x:v>
      </x:c>
      <x:c r="T8" s="161" t="str">
        <x:v>Deep topical cluster</x:v>
      </x:c>
      <x:c r="U8" s="161" t="str">
        <x:v>Focused series</x:v>
      </x:c>
      <x:c r="V8" s="161" t="str">
        <x:v>Focused series</x:v>
      </x:c>
      <x:c r="W8" s="161" t="str">
        <x:v>Tinggi</x:v>
      </x:c>
      <x:c r="X8" s="161" t="str">
        <x:v>Sedang</x:v>
      </x:c>
      <x:c r="Y8" s="161" t="str">
        <x:v>Brand jelas dan content maintenance terkendali</x:v>
      </x:c>
      <x:c r="Z8" s="161" t="str">
        <x:v>TAM dan concentration belum tervalidasi</x:v>
      </x:c>
      <x:c r="AA8" s="161" t="str">
        <x:v>Niche demand, willingness-to-pay, and proof</x:v>
      </x:c>
      <x:c r="AB8" s="161" t="str">
        <x:v>Memilih niche hanya karena SEO</x:v>
      </x:c>
      <x:c r="AC8" s="161" t="str">
        <x:v>Belum ada data; pilot cohort kecil</x:v>
      </x:c>
      <x:c r="AD8" s="162" t="n">
        <x:v>4.25</x:v>
      </x:c>
    </x:row>
    <x:row r="9" ht="48" customHeight="1">
      <x:c r="A9" s="160" t="str">
        <x:v>K04</x:v>
      </x:c>
      <x:c r="B9" s="161" t="str">
        <x:v>2 Jam — Model Partner-Based</x:v>
      </x:c>
      <x:c r="C9" s="161" t="str">
        <x:v>Waktu pemilik</x:v>
      </x:c>
      <x:c r="D9" s="161" t="str">
        <x:v>UJI dengan governance kuat</x:v>
      </x:c>
      <x:c r="E9" s="161" t="str">
        <x:v>G&amp;P mengelola client front-end; partner mengeksekusi layanan teknis.</x:v>
      </x:c>
      <x:c r="F9" s="161" t="str">
        <x:v>Core A + selected complex permits</x:v>
      </x:c>
      <x:c r="G9" s="161" t="str">
        <x:v>L01,L11,L14,L15-L21,L23,L27</x:v>
      </x:c>
      <x:c r="H9" s="161" t="str">
        <x:v>A+B/C conditional</x:v>
      </x:c>
      <x:c r="I9" s="161" t="str">
        <x:v>Corporate/project owners</x:v>
      </x:c>
      <x:c r="J9" s="161" t="str">
        <x:v>Maks. 2 jam/hari; Qualification, solution design, partner governance</x:v>
      </x:c>
      <x:c r="K9" s="161" t="str">
        <x:v>4 orang + bench partner</x:v>
      </x:c>
      <x:c r="L9" s="161" t="str">
        <x:v>Owner; engagement lead; PM/case manager; ops</x:v>
      </x:c>
      <x:c r="M9" s="161" t="str">
        <x:v>High</x:v>
      </x:c>
      <x:c r="N9" s="161" t="str">
        <x:v>CRM/task flow, partner reporting, document control</x:v>
      </x:c>
      <x:c r="O9" s="161" t="str">
        <x:v>Sedang</x:v>
      </x:c>
      <x:c r="P9" s="161" t="str">
        <x:v>Partner quality, margin leakage, blame transfer</x:v>
      </x:c>
      <x:c r="Q9" s="161" t="str">
        <x:v>Tinggi pada escalation</x:v>
      </x:c>
      <x:c r="R9" s="161" t="str">
        <x:v>High across partners</x:v>
      </x:c>
      <x:c r="S9" s="161" t="str">
        <x:v>10-12 pages; no exhaustive catalog</x:v>
      </x:c>
      <x:c r="T9" s="161" t="str">
        <x:v>Problem-led</x:v>
      </x:c>
      <x:c r="U9" s="161" t="str">
        <x:v>Case explainer</x:v>
      </x:c>
      <x:c r="V9" s="161" t="str">
        <x:v>Repurposed</x:v>
      </x:c>
      <x:c r="W9" s="161" t="str">
        <x:v>Tinggi</x:v>
      </x:c>
      <x:c r="X9" s="161" t="str">
        <x:v>Tinggi</x:v>
      </x:c>
      <x:c r="Y9" s="161" t="str">
        <x:v>Leverage capability without payroll</x:v>
      </x:c>
      <x:c r="Z9" s="161" t="str">
        <x:v>Control dan trust tergantung partner</x:v>
      </x:c>
      <x:c r="AA9" s="161" t="str">
        <x:v>Contracts, SLA, QA, backup partner, fee model</x:v>
      </x:c>
      <x:c r="AB9" s="161" t="str">
        <x:v>Partner dipakai tanpa evidence/RACI</x:v>
      </x:c>
      <x:c r="AC9" s="161" t="str">
        <x:v>Ditentukan partner capacity dan PM span</x:v>
      </x:c>
      <x:c r="AD9" s="162" t="n">
        <x:v>4.13</x:v>
      </x:c>
    </x:row>
    <x:row r="10" ht="48" customHeight="1">
      <x:c r="A10" s="160" t="str">
        <x:v>K05</x:v>
      </x:c>
      <x:c r="B10" s="161" t="str">
        <x:v>4 Jam — Grade A Saja dengan Volume Lebih Besar</x:v>
      </x:c>
      <x:c r="C10" s="161" t="str">
        <x:v>Waktu pemilik</x:v>
      </x:c>
      <x:c r="D10" s="161" t="str">
        <x:v>PILIH hanya jika agency aman</x:v>
      </x:c>
      <x:c r="E10" s="161" t="str">
        <x:v>Portofolio A sama dengan volume, QA, dan content lebih besar.</x:v>
      </x:c>
      <x:c r="F10" s="161" t="str">
        <x:v>Audit/mapping; compliance</x:v>
      </x:c>
      <x:c r="G10" s="161" t="str">
        <x:v>L01,L06,L10,L11,L14</x:v>
      </x:c>
      <x:c r="H10" s="161" t="str">
        <x:v>A</x:v>
      </x:c>
      <x:c r="I10" s="161" t="str">
        <x:v>Corporate clients</x:v>
      </x:c>
      <x:c r="J10" s="161" t="str">
        <x:v>Maks. 4 jam/hari; Daily exceptions, sales, QA, hiring</x:v>
      </x:c>
      <x:c r="K10" s="161" t="str">
        <x:v>5-6 orang</x:v>
      </x:c>
      <x:c r="L10" s="161" t="str">
        <x:v>Owner; service lead; 2 analysts; ops; client/content</x:v>
      </x:c>
      <x:c r="M10" s="161" t="str">
        <x:v>Reviewer on demand</x:v>
      </x:c>
      <x:c r="N10" s="161" t="str">
        <x:v>End-to-end workflow and dashboards</x:v>
      </x:c>
      <x:c r="O10" s="161" t="str">
        <x:v>Sedang</x:v>
      </x:c>
      <x:c r="P10" s="161" t="str">
        <x:v>Owner attention and service quality</x:v>
      </x:c>
      <x:c r="Q10" s="161" t="str">
        <x:v>Sedang</x:v>
      </x:c>
      <x:c r="R10" s="161" t="str">
        <x:v>Tinggi</x:v>
      </x:c>
      <x:c r="S10" s="161" t="str">
        <x:v>9-11 pages</x:v>
      </x:c>
      <x:c r="T10" s="161" t="str">
        <x:v>Expanded clusters</x:v>
      </x:c>
      <x:c r="U10" s="161" t="str">
        <x:v>Regular</x:v>
      </x:c>
      <x:c r="V10" s="161" t="str">
        <x:v>Regular repurpose</x:v>
      </x:c>
      <x:c r="W10" s="161" t="str">
        <x:v>Sangat tinggi</x:v>
      </x:c>
      <x:c r="X10" s="161" t="str">
        <x:v>Tinggi</x:v>
      </x:c>
      <x:c r="Y10" s="161" t="str">
        <x:v>Scale tanpa menambah kategori</x:v>
      </x:c>
      <x:c r="Z10" s="161" t="str">
        <x:v>Mengambil porsi besar waktu agency</x:v>
      </x:c>
      <x:c r="AA10" s="161" t="str">
        <x:v>Delegated sales/QA and separate P&amp;L</x:v>
      </x:c>
      <x:c r="AB10" s="161" t="str">
        <x:v>Owner menjadi bottleneck</x:v>
      </x:c>
      <x:c r="AC10" s="161" t="str">
        <x:v>Belum ada angka; capacity after time study</x:v>
      </x:c>
      <x:c r="AD10" s="162" t="n">
        <x:v>4.33</x:v>
      </x:c>
    </x:row>
    <x:row r="11" ht="48" customHeight="1">
      <x:c r="A11" s="160" t="str">
        <x:v>K06</x:v>
      </x:c>
      <x:c r="B11" s="161" t="str">
        <x:v>4 Jam — Grade A dan B</x:v>
      </x:c>
      <x:c r="C11" s="161" t="str">
        <x:v>Waktu pemilik</x:v>
      </x:c>
      <x:c r="D11" s="161" t="str">
        <x:v>UJI setelah core stabil</x:v>
      </x:c>
      <x:c r="E11" s="161" t="str">
        <x:v>Full core ditambah selected investment/project and one sector.</x:v>
      </x:c>
      <x:c r="F11" s="161" t="str">
        <x:v>A + selected B</x:v>
      </x:c>
      <x:c r="G11" s="161" t="str">
        <x:v>L01,L03,L06,L08,L10,L11,L14,L15,L20</x:v>
      </x:c>
      <x:c r="H11" s="161" t="str">
        <x:v>A+B</x:v>
      </x:c>
      <x:c r="I11" s="161" t="str">
        <x:v>Corporate/investor/project</x:v>
      </x:c>
      <x:c r="J11" s="161" t="str">
        <x:v>Maks. 4 jam/hari; Sales, QA, partner escalations, portfolio steering</x:v>
      </x:c>
      <x:c r="K11" s="161" t="str">
        <x:v>6-7 orang</x:v>
      </x:c>
      <x:c r="L11" s="161" t="str">
        <x:v>Owner; head of delivery; analysts; PM; ops; content/client</x:v>
      </x:c>
      <x:c r="M11" s="161" t="str">
        <x:v>Medium-high</x:v>
      </x:c>
      <x:c r="N11" s="161" t="str">
        <x:v>Workflow, WIP, partner scorecard, calendar</x:v>
      </x:c>
      <x:c r="O11" s="161" t="str">
        <x:v>Tinggi</x:v>
      </x:c>
      <x:c r="P11" s="161" t="str">
        <x:v>Scope/delay and capability sprawl</x:v>
      </x:c>
      <x:c r="Q11" s="161" t="str">
        <x:v>Tinggi</x:v>
      </x:c>
      <x:c r="R11" s="161" t="str">
        <x:v>Tinggi</x:v>
      </x:c>
      <x:c r="S11" s="161" t="str">
        <x:v>12-15 pages</x:v>
      </x:c>
      <x:c r="T11" s="161" t="str">
        <x:v>4-5 clusters</x:v>
      </x:c>
      <x:c r="U11" s="161" t="str">
        <x:v>2 formats</x:v>
      </x:c>
      <x:c r="V11" s="161" t="str">
        <x:v>Regular</x:v>
      </x:c>
      <x:c r="W11" s="161" t="str">
        <x:v>Sangat tinggi</x:v>
      </x:c>
      <x:c r="X11" s="161" t="str">
        <x:v>Sangat tinggi</x:v>
      </x:c>
      <x:c r="Y11" s="161" t="str">
        <x:v>Revenue and case-study upside</x:v>
      </x:c>
      <x:c r="Z11" s="161" t="str">
        <x:v>Agency interference and governance load</x:v>
      </x:c>
      <x:c r="AA11" s="161" t="str">
        <x:v>Separate operations lead and one B vertical</x:v>
      </x:c>
      <x:c r="AB11" s="161" t="str">
        <x:v>Adds second B vertical too early</x:v>
      </x:c>
      <x:c r="AC11" s="161" t="str">
        <x:v>Stage-based cap only</x:v>
      </x:c>
      <x:c r="AD11" s="162" t="n">
        <x:v>3.9</x:v>
      </x:c>
    </x:row>
    <x:row r="12" ht="48" customHeight="1">
      <x:c r="A12" s="160" t="str">
        <x:v>K07</x:v>
      </x:c>
      <x:c r="B12" s="161" t="str">
        <x:v>4 Jam — Multi-Tipe Perizinan Terbatas</x:v>
      </x:c>
      <x:c r="C12" s="161" t="str">
        <x:v>Waktu pemilik</x:v>
      </x:c>
      <x:c r="D12" s="161" t="str">
        <x:v>TUNDA</x:v>
      </x:c>
      <x:c r="E12" s="161" t="str">
        <x:v>Beberapa tipe A/B dipublikasikan bersama.</x:v>
      </x:c>
      <x:c r="F12" s="161" t="str">
        <x:v>Entity; OSS; compliance; project; product</x:v>
      </x:c>
      <x:c r="G12" s="161" t="str">
        <x:v>L01-L29 selective</x:v>
      </x:c>
      <x:c r="H12" s="161" t="str">
        <x:v>A+B+C conditional</x:v>
      </x:c>
      <x:c r="I12" s="161" t="str">
        <x:v>Broad corporate</x:v>
      </x:c>
      <x:c r="J12" s="161" t="str">
        <x:v>Maks. 4 jam/hari; High sales and portfolio supervision</x:v>
      </x:c>
      <x:c r="K12" s="161" t="str">
        <x:v>7-8 orang</x:v>
      </x:c>
      <x:c r="L12" s="161" t="str">
        <x:v>Owner; delivery head; vertical leads; PM; ops/content</x:v>
      </x:c>
      <x:c r="M12" s="161" t="str">
        <x:v>High</x:v>
      </x:c>
      <x:c r="N12" s="161" t="str">
        <x:v>Multi-workflow stack</x:v>
      </x:c>
      <x:c r="O12" s="161" t="str">
        <x:v>Sangat tinggi</x:v>
      </x:c>
      <x:c r="P12" s="161" t="str">
        <x:v>Overextension, quality variance</x:v>
      </x:c>
      <x:c r="Q12" s="161" t="str">
        <x:v>Sangat tinggi</x:v>
      </x:c>
      <x:c r="R12" s="161" t="str">
        <x:v>Sangat tinggi</x:v>
      </x:c>
      <x:c r="S12" s="161" t="str">
        <x:v>15-20 pages</x:v>
      </x:c>
      <x:c r="T12" s="161" t="str">
        <x:v>Many clusters</x:v>
      </x:c>
      <x:c r="U12" s="161" t="str">
        <x:v>High</x:v>
      </x:c>
      <x:c r="V12" s="161" t="str">
        <x:v>High</x:v>
      </x:c>
      <x:c r="W12" s="161" t="str">
        <x:v>Tinggi</x:v>
      </x:c>
      <x:c r="X12" s="161" t="str">
        <x:v>Sangat tinggi</x:v>
      </x:c>
      <x:c r="Y12" s="161" t="str">
        <x:v>More opportunities captured</x:v>
      </x:c>
      <x:c r="Z12" s="161" t="str">
        <x:v>Operational and content debt too high</x:v>
      </x:c>
      <x:c r="AA12" s="161" t="str">
        <x:v>Evidence and lead per vertical</x:v>
      </x:c>
      <x:c r="AB12" s="161" t="str">
        <x:v>Portfolio added before unit economics</x:v>
      </x:c>
      <x:c r="AC12" s="161" t="str">
        <x:v>Tidak tersedia; likely owner bottleneck</x:v>
      </x:c>
      <x:c r="AD12" s="162" t="n">
        <x:v>3.05</x:v>
      </x:c>
    </x:row>
    <x:row r="13" ht="48" customHeight="1">
      <x:c r="A13" s="160" t="str">
        <x:v>K08</x:v>
      </x:c>
      <x:c r="B13" s="161" t="str">
        <x:v>4 Jam — Model Konsultan dan Project Management</x:v>
      </x:c>
      <x:c r="C13" s="161" t="str">
        <x:v>Waktu pemilik</x:v>
      </x:c>
      <x:c r="D13" s="161" t="str">
        <x:v>UJI selektif</x:v>
      </x:c>
      <x:c r="E13" s="161" t="str">
        <x:v>High-ticket diagnosis, solution design, and PM; execution outside.</x:v>
      </x:c>
      <x:c r="F13" s="161" t="str">
        <x:v>Project/investment, industry, location/environment/building</x:v>
      </x:c>
      <x:c r="G13" s="161" t="str">
        <x:v>L01,L11,L15-L21</x:v>
      </x:c>
      <x:c r="H13" s="161" t="str">
        <x:v>A+B/C conditional</x:v>
      </x:c>
      <x:c r="I13" s="161" t="str">
        <x:v>Project owners and investors</x:v>
      </x:c>
      <x:c r="J13" s="161" t="str">
        <x:v>Maks. 4 jam/hari; Principal consulting, scope, key steering</x:v>
      </x:c>
      <x:c r="K13" s="161" t="str">
        <x:v>5-7 orang + partners</x:v>
      </x:c>
      <x:c r="L13" s="161" t="str">
        <x:v>Owner/principal; engagement lead; PMs; analyst; ops</x:v>
      </x:c>
      <x:c r="M13" s="161" t="str">
        <x:v>Very high</x:v>
      </x:c>
      <x:c r="N13" s="161" t="str">
        <x:v>Document control, RAID log, stakeholder reporting</x:v>
      </x:c>
      <x:c r="O13" s="161" t="str">
        <x:v>Tinggi</x:v>
      </x:c>
      <x:c r="P13" s="161" t="str">
        <x:v>Partner and project delay</x:v>
      </x:c>
      <x:c r="Q13" s="161" t="str">
        <x:v>Sangat tinggi</x:v>
      </x:c>
      <x:c r="R13" s="161" t="str">
        <x:v>Sangat tinggi</x:v>
      </x:c>
      <x:c r="S13" s="161" t="str">
        <x:v>10-13 pages</x:v>
      </x:c>
      <x:c r="T13" s="161" t="str">
        <x:v>Project problem clusters</x:v>
      </x:c>
      <x:c r="U13" s="161" t="str">
        <x:v>Thought leadership</x:v>
      </x:c>
      <x:c r="V13" s="161" t="str">
        <x:v>Selective</x:v>
      </x:c>
      <x:c r="W13" s="161" t="str">
        <x:v>Sedang-tinggi</x:v>
      </x:c>
      <x:c r="X13" s="161" t="str">
        <x:v>Sangat tinggi</x:v>
      </x:c>
      <x:c r="Y13" s="161" t="str">
        <x:v>High-ticket and clear positioning</x:v>
      </x:c>
      <x:c r="Z13" s="161" t="str">
        <x:v>Owner intensity and project volatility</x:v>
      </x:c>
      <x:c r="AA13" s="161" t="str">
        <x:v>Paid discovery, strong PMO, partner governance</x:v>
      </x:c>
      <x:c r="AB13" s="161" t="str">
        <x:v>Fixed-fee delivery without change control</x:v>
      </x:c>
      <x:c r="AC13" s="161" t="str">
        <x:v>Per project stage; no numeric evidence</x:v>
      </x:c>
      <x:c r="AD13" s="162" t="n">
        <x:v>3.46</x:v>
      </x:c>
    </x:row>
    <x:row r="14" ht="48" customHeight="1">
      <x:c r="A14" s="160" t="str">
        <x:v>K09</x:v>
      </x:c>
      <x:c r="B14" s="161" t="str">
        <x:v>Tim 4–5 Orang</x:v>
      </x:c>
      <x:c r="C14" s="161" t="str">
        <x:v>Ukuran tim</x:v>
      </x:c>
      <x:c r="D14" s="161" t="str">
        <x:v>PILIH</x:v>
      </x:c>
      <x:c r="E14" s="161" t="str">
        <x:v>Minimum viable boutique with broad role coverage.</x:v>
      </x:c>
      <x:c r="F14" s="161" t="str">
        <x:v>Core A + one B module</x:v>
      </x:c>
      <x:c r="G14" s="161" t="str">
        <x:v>L01,L06,L10,L11,L14 + one B</x:v>
      </x:c>
      <x:c r="H14" s="161" t="str">
        <x:v>A+B limited</x:v>
      </x:c>
      <x:c r="I14" s="161" t="str">
        <x:v>Corporate</x:v>
      </x:c>
      <x:c r="J14" s="161" t="str">
        <x:v>2-4 jam owner; Strategy, risk, key consults</x:v>
      </x:c>
      <x:c r="K14" s="161" t="str">
        <x:v>4-5 orang</x:v>
      </x:c>
      <x:c r="L14" s="161" t="str">
        <x:v>Owner; service lead; analyst/case manager; ops; client/content hybrid</x:v>
      </x:c>
      <x:c r="M14" s="161" t="str">
        <x:v>Selective</x:v>
      </x:c>
      <x:c r="N14" s="161" t="str">
        <x:v>Templates, task board, calendar, Resend intake</x:v>
      </x:c>
      <x:c r="O14" s="161" t="str">
        <x:v>Sedang</x:v>
      </x:c>
      <x:c r="P14" s="161" t="str">
        <x:v>Single-point-of-failure</x:v>
      </x:c>
      <x:c r="Q14" s="161" t="str">
        <x:v>Sedang</x:v>
      </x:c>
      <x:c r="R14" s="161" t="str">
        <x:v>Manageable</x:v>
      </x:c>
      <x:c r="S14" s="161" t="str">
        <x:v>9-12 pages</x:v>
      </x:c>
      <x:c r="T14" s="161" t="str">
        <x:v>3 clusters</x:v>
      </x:c>
      <x:c r="U14" s="161" t="str">
        <x:v>Repurpose</x:v>
      </x:c>
      <x:c r="V14" s="161" t="str">
        <x:v>Repurpose</x:v>
      </x:c>
      <x:c r="W14" s="161" t="str">
        <x:v>Tinggi</x:v>
      </x:c>
      <x:c r="X14" s="161" t="str">
        <x:v>Tinggi</x:v>
      </x:c>
      <x:c r="Y14" s="161" t="str">
        <x:v>Lean and quick to implement</x:v>
      </x:c>
      <x:c r="Z14" s="161" t="str">
        <x:v>Role overload and low redundancy</x:v>
      </x:c>
      <x:c r="AA14" s="161" t="str">
        <x:v>Cross-training, WIP, partner backup</x:v>
      </x:c>
      <x:c r="AB14" s="161" t="str">
        <x:v>Too many active services</x:v>
      </x:c>
      <x:c r="AC14" s="161" t="str">
        <x:v>Unknown; measure role capacity</x:v>
      </x:c>
      <x:c r="AD14" s="162" t="n">
        <x:v>4.04</x:v>
      </x:c>
    </x:row>
    <x:row r="15" ht="48" customHeight="1">
      <x:c r="A15" s="160" t="str">
        <x:v>K10</x:v>
      </x:c>
      <x:c r="B15" s="161" t="str">
        <x:v>Tim 6–7 Orang</x:v>
      </x:c>
      <x:c r="C15" s="161" t="str">
        <x:v>Ukuran tim</x:v>
      </x:c>
      <x:c r="D15" s="161" t="str">
        <x:v>CONTROLLED GROWTH</x:v>
      </x:c>
      <x:c r="E15" s="161" t="str">
        <x:v>Adds delivery depth and one project/sector vertical.</x:v>
      </x:c>
      <x:c r="F15" s="161" t="str">
        <x:v>Core A + selected B</x:v>
      </x:c>
      <x:c r="G15" s="161" t="str">
        <x:v>Core + L03/L15/L20</x:v>
      </x:c>
      <x:c r="H15" s="161" t="str">
        <x:v>A+B</x:v>
      </x:c>
      <x:c r="I15" s="161" t="str">
        <x:v>Corporate/project</x:v>
      </x:c>
      <x:c r="J15" s="161" t="str">
        <x:v>2-4 jam owner; Portfolio and partner governance</x:v>
      </x:c>
      <x:c r="K15" s="161" t="str">
        <x:v>6-7 orang</x:v>
      </x:c>
      <x:c r="L15" s="161" t="str">
        <x:v>Owner; delivery head; 2 analysts; PM; ops; client/content</x:v>
      </x:c>
      <x:c r="M15" s="161" t="str">
        <x:v>Medium</x:v>
      </x:c>
      <x:c r="N15" s="161" t="str">
        <x:v>Workflow and reporting</x:v>
      </x:c>
      <x:c r="O15" s="161" t="str">
        <x:v>Tinggi</x:v>
      </x:c>
      <x:c r="P15" s="161" t="str">
        <x:v>Coordination and fixed cost</x:v>
      </x:c>
      <x:c r="Q15" s="161" t="str">
        <x:v>Sedang-tinggi</x:v>
      </x:c>
      <x:c r="R15" s="161" t="str">
        <x:v>High</x:v>
      </x:c>
      <x:c r="S15" s="161" t="str">
        <x:v>12-15 pages</x:v>
      </x:c>
      <x:c r="T15" s="161" t="str">
        <x:v>4 clusters</x:v>
      </x:c>
      <x:c r="U15" s="161" t="str">
        <x:v>Regular</x:v>
      </x:c>
      <x:c r="V15" s="161" t="str">
        <x:v>Regular</x:v>
      </x:c>
      <x:c r="W15" s="161" t="str">
        <x:v>Sangat tinggi</x:v>
      </x:c>
      <x:c r="X15" s="161" t="str">
        <x:v>Sangat tinggi</x:v>
      </x:c>
      <x:c r="Y15" s="161" t="str">
        <x:v>Redundancy and growth capacity</x:v>
      </x:c>
      <x:c r="Z15" s="161" t="str">
        <x:v>Higher management burden</x:v>
      </x:c>
      <x:c r="AA15" s="161" t="str">
        <x:v>Proven pipeline and team lead</x:v>
      </x:c>
      <x:c r="AB15" s="161" t="str">
        <x:v>Hiring ahead of validated demand</x:v>
      </x:c>
      <x:c r="AC15" s="161" t="str">
        <x:v>Unknown; only after utilization data</x:v>
      </x:c>
      <x:c r="AD15" s="162" t="n">
        <x:v>3.97</x:v>
      </x:c>
    </x:row>
    <x:row r="16" ht="48" customHeight="1">
      <x:c r="A16" s="160" t="str">
        <x:v>K11</x:v>
      </x:c>
      <x:c r="B16" s="161" t="str">
        <x:v>Tim 8–10 Orang</x:v>
      </x:c>
      <x:c r="C16" s="161" t="str">
        <x:v>Ukuran tim</x:v>
      </x:c>
      <x:c r="D16" s="161" t="str">
        <x:v>TOLAK untuk sekarang</x:v>
      </x:c>
      <x:c r="E16" s="161" t="str">
        <x:v>Multi-vertical internal organization.</x:v>
      </x:c>
      <x:c r="F16" s="161" t="str">
        <x:v>Several permit types</x:v>
      </x:c>
      <x:c r="G16" s="161" t="str">
        <x:v>A+B and specialist teams</x:v>
      </x:c>
      <x:c r="H16" s="161" t="str">
        <x:v>A+B+C</x:v>
      </x:c>
      <x:c r="I16" s="161" t="str">
        <x:v>Broad corporate</x:v>
      </x:c>
      <x:c r="J16" s="161" t="str">
        <x:v>4 jam+ management risk; Leadership and P&amp;L management</x:v>
      </x:c>
      <x:c r="K16" s="161" t="str">
        <x:v>8-10 orang</x:v>
      </x:c>
      <x:c r="L16" s="161" t="str">
        <x:v>Owner; GM; vertical leads; PMs; analysts; ops/content</x:v>
      </x:c>
      <x:c r="M16" s="161" t="str">
        <x:v>Mixed</x:v>
      </x:c>
      <x:c r="N16" s="161" t="str">
        <x:v>Advanced operating system</x:v>
      </x:c>
      <x:c r="O16" s="161" t="str">
        <x:v>Sangat tinggi</x:v>
      </x:c>
      <x:c r="P16" s="161" t="str">
        <x:v>Fixed cost and bureaucracy</x:v>
      </x:c>
      <x:c r="Q16" s="161" t="str">
        <x:v>High</x:v>
      </x:c>
      <x:c r="R16" s="161" t="str">
        <x:v>Very high</x:v>
      </x:c>
      <x:c r="S16" s="161" t="str">
        <x:v>15-20+ pages</x:v>
      </x:c>
      <x:c r="T16" s="161" t="str">
        <x:v>Many clusters</x:v>
      </x:c>
      <x:c r="U16" s="161" t="str">
        <x:v>High</x:v>
      </x:c>
      <x:c r="V16" s="161" t="str">
        <x:v>High</x:v>
      </x:c>
      <x:c r="W16" s="161" t="str">
        <x:v>Very high</x:v>
      </x:c>
      <x:c r="X16" s="161" t="str">
        <x:v>Very high</x:v>
      </x:c>
      <x:c r="Y16" s="161" t="str">
        <x:v>Potential scale and redundancy</x:v>
      </x:c>
      <x:c r="Z16" s="161" t="str">
        <x:v>Conflicts with lean intent and agency focus</x:v>
      </x:c>
      <x:c r="AA16" s="161" t="str">
        <x:v>Validated economics, GM, multi-year pipeline</x:v>
      </x:c>
      <x:c r="AB16" s="161" t="str">
        <x:v>Built before product-market fit</x:v>
      </x:c>
      <x:c r="AC16" s="161" t="str">
        <x:v>No data supports this size</x:v>
      </x:c>
      <x:c r="AD16" s="162" t="n">
        <x:v>3.38</x:v>
      </x:c>
    </x:row>
    <x:row r="17" ht="48" customHeight="1">
      <x:c r="A17" s="160" t="str">
        <x:v>K12</x:v>
      </x:c>
      <x:c r="B17" s="161" t="str">
        <x:v>Model Sangat Spesialis</x:v>
      </x:c>
      <x:c r="C17" s="161" t="str">
        <x:v>Tipe/model</x:v>
      </x:c>
      <x:c r="D17" s="161" t="str">
        <x:v>PILIH niche compliance</x:v>
      </x:c>
      <x:c r="E17" s="161" t="str">
        <x:v>One problem, one ICP, deep evidence and content.</x:v>
      </x:c>
      <x:c r="F17" s="161" t="str">
        <x:v>Compliance or OSS alignment</x:v>
      </x:c>
      <x:c r="G17" s="161" t="str">
        <x:v>L06,L10,L11,L14</x:v>
      </x:c>
      <x:c r="H17" s="161" t="str">
        <x:v>A</x:v>
      </x:c>
      <x:c r="I17" s="161" t="str">
        <x:v>Specific regulated corporate niche</x:v>
      </x:c>
      <x:c r="J17" s="161" t="str">
        <x:v>2 jam owner; Expert authority and quality</x:v>
      </x:c>
      <x:c r="K17" s="161" t="str">
        <x:v>4 orang</x:v>
      </x:c>
      <x:c r="L17" s="161" t="str">
        <x:v>Owner/principal; lead; analyst; ops</x:v>
      </x:c>
      <x:c r="M17" s="161" t="str">
        <x:v>Low-medium</x:v>
      </x:c>
      <x:c r="N17" s="161" t="str">
        <x:v>Highly repeatable</x:v>
      </x:c>
      <x:c r="O17" s="161" t="str">
        <x:v>Rendah</x:v>
      </x:c>
      <x:c r="P17" s="161" t="str">
        <x:v>Concentration and key-person risk</x:v>
      </x:c>
      <x:c r="Q17" s="161" t="str">
        <x:v>Sedang</x:v>
      </x:c>
      <x:c r="R17" s="161" t="str">
        <x:v>Deep</x:v>
      </x:c>
      <x:c r="S17" s="161" t="str">
        <x:v>8-9 pages</x:v>
      </x:c>
      <x:c r="T17" s="161" t="str">
        <x:v>One deep cluster</x:v>
      </x:c>
      <x:c r="U17" s="161" t="str">
        <x:v>Series</x:v>
      </x:c>
      <x:c r="V17" s="161" t="str">
        <x:v>Series</x:v>
      </x:c>
      <x:c r="W17" s="161" t="str">
        <x:v>Tinggi</x:v>
      </x:c>
      <x:c r="X17" s="161" t="str">
        <x:v>Sedang</x:v>
      </x:c>
      <x:c r="Y17" s="161" t="str">
        <x:v>Strong authority and low content sprawl</x:v>
      </x:c>
      <x:c r="Z17" s="161" t="str">
        <x:v>Niche choice unvalidated</x:v>
      </x:c>
      <x:c r="AA17" s="161" t="str">
        <x:v>Paid pilots and enough addressable demand</x:v>
      </x:c>
      <x:c r="AB17" s="161" t="str">
        <x:v>Niche too small or seasonal</x:v>
      </x:c>
      <x:c r="AC17" s="161" t="str">
        <x:v>Pilot-based</x:v>
      </x:c>
      <x:c r="AD17" s="162" t="n">
        <x:v>4.4</x:v>
      </x:c>
    </x:row>
    <x:row r="18" ht="48" customHeight="1">
      <x:c r="A18" s="160" t="str">
        <x:v>K13</x:v>
      </x:c>
      <x:c r="B18" s="161" t="str">
        <x:v>Model High-Ticket Boutique</x:v>
      </x:c>
      <x:c r="C18" s="161" t="str">
        <x:v>Tipe/model</x:v>
      </x:c>
      <x:c r="D18" s="161" t="str">
        <x:v>PILIH — rekomendasi utama</x:v>
      </x:c>
      <x:c r="E18" s="161" t="str">
        <x:v>Three offers: readiness, regulatory care, selective project PM; supporting modules hidden from headline.</x:v>
      </x:c>
      <x:c r="F18" s="161" t="str">
        <x:v>Audit/mapping; compliance; selected project/investment</x:v>
      </x:c>
      <x:c r="G18" s="161" t="str">
        <x:v>L01,L06,L10,L11,L14,L15 + partner modules</x:v>
      </x:c>
      <x:c r="H18" s="161" t="str">
        <x:v>A + B selective</x:v>
      </x:c>
      <x:c r="I18" s="161" t="str">
        <x:v>Corporate decision-makers, investor, legal/ops</x:v>
      </x:c>
      <x:c r="J18" s="161" t="str">
        <x:v>2 jam default; 4 jam hanya expansion gate; Portfolio decisions, risk, proposal exceptions, key consults</x:v>
      </x:c>
      <x:c r="K18" s="161" t="str">
        <x:v>4-5 orang</x:v>
      </x:c>
      <x:c r="L18" s="161" t="str">
        <x:v>Owner; service lead; analyst/case manager; ops; client/content hybrid</x:v>
      </x:c>
      <x:c r="M18" s="161" t="str">
        <x:v>Validated technical partners</x:v>
      </x:c>
      <x:c r="N18" s="161" t="str">
        <x:v>Qualification, templates, WIP, calendar, partner scorecard</x:v>
      </x:c>
      <x:c r="O18" s="161" t="str">
        <x:v>Sedang</x:v>
      </x:c>
      <x:c r="P18" s="161" t="str">
        <x:v>Proof gap, scope creep, partner quality</x:v>
      </x:c>
      <x:c r="Q18" s="161" t="str">
        <x:v>Sedang-tinggi</x:v>
      </x:c>
      <x:c r="R18" s="161" t="str">
        <x:v>Tinggi but focused</x:v>
      </x:c>
      <x:c r="S18" s="161" t="str">
        <x:v>11-13 launch pages incl. legal; 3 service pages</x:v>
      </x:c>
      <x:c r="T18" s="161" t="str">
        <x:v>3 clusters</x:v>
      </x:c>
      <x:c r="U18" s="161" t="str">
        <x:v>Pillar repurpose</x:v>
      </x:c>
      <x:c r="V18" s="161" t="str">
        <x:v>Repurpose</x:v>
      </x:c>
      <x:c r="W18" s="161" t="str">
        <x:v>Sangat tinggi</x:v>
      </x:c>
      <x:c r="X18" s="161" t="str">
        <x:v>Sangat tinggi</x:v>
      </x:c>
      <x:c r="Y18" s="161" t="str">
        <x:v>Best balance of ticket, recurring, brand, and lean operations</x:v>
      </x:c>
      <x:c r="Z18" s="161" t="str">
        <x:v>Requires disciplined refusal and proof building</x:v>
      </x:c>
      <x:c r="AA18" s="161" t="str">
        <x:v>Launch gates, paid discovery, retainer MVP, one project vertical</x:v>
      </x:c>
      <x:c r="AB18" s="161" t="str">
        <x:v>15-item catalog retained as offers</x:v>
      </x:c>
      <x:c r="AC18" s="161" t="str">
        <x:v>No numeric cap; stage-gated WIP and owner-hours dashboard</x:v>
      </x:c>
      <x:c r="AD18" s="162" t="n">
        <x:v>4.2</x:v>
      </x:c>
    </x:row>
    <x:row r="19" ht="48" customHeight="1">
      <x:c r="A19" s="160" t="str">
        <x:v>K14</x:v>
      </x:c>
      <x:c r="B19" s="161" t="str">
        <x:v>Model Perizinan Industri dan Pabrik</x:v>
      </x:c>
      <x:c r="C19" s="161" t="str">
        <x:v>Tipe/model</x:v>
      </x:c>
      <x:c r="D19" s="161" t="str">
        <x:v>UJI setelah partner proof</x:v>
      </x:c>
      <x:c r="E19" s="161" t="str">
        <x:v>Vertical boutique for factory/warehouse/manufacturing projects.</x:v>
      </x:c>
      <x:c r="F19" s="161" t="str">
        <x:v>Industry; KKPR; environment; PBG/SLF; operational</x:v>
      </x:c>
      <x:c r="G19" s="161" t="str">
        <x:v>L15-L20</x:v>
      </x:c>
      <x:c r="H19" s="161" t="str">
        <x:v>B/C conditional</x:v>
      </x:c>
      <x:c r="I19" s="161" t="str">
        <x:v>Manufacturer, factory investor</x:v>
      </x:c>
      <x:c r="J19" s="161" t="str">
        <x:v>4 jam owner; Principal sales, risk and stakeholder steering</x:v>
      </x:c>
      <x:c r="K19" s="161" t="str">
        <x:v>6-7 orang + partners</x:v>
      </x:c>
      <x:c r="L19" s="161" t="str">
        <x:v>Owner; industry lead; PM; analyst; document control; ops/content</x:v>
      </x:c>
      <x:c r="M19" s="161" t="str">
        <x:v>Very high</x:v>
      </x:c>
      <x:c r="N19" s="161" t="str">
        <x:v>PMO and document control</x:v>
      </x:c>
      <x:c r="O19" s="161" t="str">
        <x:v>Sangat tinggi</x:v>
      </x:c>
      <x:c r="P19" s="161" t="str">
        <x:v>Schedule, technical, field, authority</x:v>
      </x:c>
      <x:c r="Q19" s="161" t="str">
        <x:v>Sangat tinggi</x:v>
      </x:c>
      <x:c r="R19" s="161" t="str">
        <x:v>Sangat tinggi</x:v>
      </x:c>
      <x:c r="S19" s="161" t="str">
        <x:v>12-15 pages</x:v>
      </x:c>
      <x:c r="T19" s="161" t="str">
        <x:v>Powerful vertical cluster</x:v>
      </x:c>
      <x:c r="U19" s="161" t="str">
        <x:v>Strong</x:v>
      </x:c>
      <x:c r="V19" s="161" t="str">
        <x:v>Strong</x:v>
      </x:c>
      <x:c r="W19" s="161" t="str">
        <x:v>Sedang</x:v>
      </x:c>
      <x:c r="X19" s="161" t="str">
        <x:v>Sangat tinggi</x:v>
      </x:c>
      <x:c r="Y19" s="161" t="str">
        <x:v>High-ticket, portfolio, SEO potential</x:v>
      </x:c>
      <x:c r="Z19" s="161" t="str">
        <x:v>Highest interference and reputation risk</x:v>
      </x:c>
      <x:c r="AA19" s="161" t="str">
        <x:v>Named experts, geography, cases, partner SLAs, WIP</x:v>
      </x:c>
      <x:c r="AB19" s="161" t="str">
        <x:v>Public promise before proof</x:v>
      </x:c>
      <x:c r="AC19" s="161" t="str">
        <x:v>Per-project only; no evidence for count</x:v>
      </x:c>
      <x:c r="AD19" s="162" t="n">
        <x:v>3.1</x:v>
      </x:c>
    </x:row>
    <x:row r="20" ht="48" customHeight="1">
      <x:c r="A20" s="160" t="str">
        <x:v>K15</x:v>
      </x:c>
      <x:c r="B20" s="161" t="str">
        <x:v>Model Compliance Retainer</x:v>
      </x:c>
      <x:c r="C20" s="161" t="str">
        <x:v>Tipe/model</x:v>
      </x:c>
      <x:c r="D20" s="161" t="str">
        <x:v>PILIH — paling lean/mudah</x:v>
      </x:c>
      <x:c r="E20" s="161" t="str">
        <x:v>Recurring governance service with diagnostic onboarding.</x:v>
      </x:c>
      <x:c r="F20" s="161" t="str">
        <x:v>Compliance; LKPM; renewal; audit/remediation</x:v>
      </x:c>
      <x:c r="G20" s="161" t="str">
        <x:v>L01,L10-L14</x:v>
      </x:c>
      <x:c r="H20" s="161" t="str">
        <x:v>A+B</x:v>
      </x:c>
      <x:c r="I20" s="161" t="str">
        <x:v>Corporate with ongoing obligations</x:v>
      </x:c>
      <x:c r="J20" s="161" t="str">
        <x:v>2 jam owner; Risk framework, key exceptions, quarterly review</x:v>
      </x:c>
      <x:c r="K20" s="161" t="str">
        <x:v>4-5 orang</x:v>
      </x:c>
      <x:c r="L20" s="161" t="str">
        <x:v>Owner; compliance lead; analyst; ops; client/content hybrid</x:v>
      </x:c>
      <x:c r="M20" s="161" t="str">
        <x:v>Reviewer on demand</x:v>
      </x:c>
      <x:c r="N20" s="161" t="str">
        <x:v>Calendar, alerts, checklist, recurring reports</x:v>
      </x:c>
      <x:c r="O20" s="161" t="str">
        <x:v>Rendah-sedang</x:v>
      </x:c>
      <x:c r="P20" s="161" t="str">
        <x:v>Missed obligation and regulatory maintenance</x:v>
      </x:c>
      <x:c r="Q20" s="161" t="str">
        <x:v>Terjadwal</x:v>
      </x:c>
      <x:c r="R20" s="161" t="str">
        <x:v>Tinggi dan recurring</x:v>
      </x:c>
      <x:c r="S20" s="161" t="str">
        <x:v>9-11 pages</x:v>
      </x:c>
      <x:c r="T20" s="161" t="str">
        <x:v>Strong</x:v>
      </x:c>
      <x:c r="U20" s="161" t="str">
        <x:v>Educational</x:v>
      </x:c>
      <x:c r="V20" s="161" t="str">
        <x:v>Repurposed</x:v>
      </x:c>
      <x:c r="W20" s="161" t="str">
        <x:v>Sangat tinggi</x:v>
      </x:c>
      <x:c r="X20" s="161" t="str">
        <x:v>Tinggi</x:v>
      </x:c>
      <x:c r="Y20" s="161" t="str">
        <x:v>Recurring, SOP, delegation, predictable content</x:v>
      </x:c>
      <x:c r="Z20" s="161" t="str">
        <x:v>Requires trust and monitoring discipline; sales cycle unknown</x:v>
      </x:c>
      <x:c r="AA20" s="161" t="str">
        <x:v>MVP tier, SLA, calendar, reviewer, client data policy</x:v>
      </x:c>
      <x:c r="AB20" s="161" t="str">
        <x:v>Unlimited custom advisory in retainer</x:v>
      </x:c>
      <x:c r="AC20" s="161" t="str">
        <x:v>Portfolio cap based on obligation count, not client count</x:v>
      </x:c>
      <x:c r="AD20" s="162" t="n">
        <x:v>4.59</x:v>
      </x:c>
    </x:row>
    <x:row r="21" ht="48" customHeight="1">
      <x:c r="A21" s="160" t="str">
        <x:v>K16</x:v>
      </x:c>
      <x:c r="B21" s="161" t="str">
        <x:v>Front-End Consultant + Eksekusi Partner</x:v>
      </x:c>
      <x:c r="C21" s="161" t="str">
        <x:v>Model pengerjaan</x:v>
      </x:c>
      <x:c r="D21" s="161" t="str">
        <x:v>PILIH sebagai delivery layer</x:v>
      </x:c>
      <x:c r="E21" s="161" t="str">
        <x:v>G&amp;P owns diagnosis, proposal, client communication, QA; partners execute technical work.</x:v>
      </x:c>
      <x:c r="F21" s="161" t="str">
        <x:v>Selected complex permit types</x:v>
      </x:c>
      <x:c r="G21" s="161" t="str">
        <x:v>L01,L11,L15-L21,L23,L27,L36</x:v>
      </x:c>
      <x:c r="H21" s="161" t="str">
        <x:v>A+B/C conditional</x:v>
      </x:c>
      <x:c r="I21" s="161" t="str">
        <x:v>Corporate/project</x:v>
      </x:c>
      <x:c r="J21" s="161" t="str">
        <x:v>2 jam owner; Quality, commercial, partner governance</x:v>
      </x:c>
      <x:c r="K21" s="161" t="str">
        <x:v>4 orang + partners</x:v>
      </x:c>
      <x:c r="L21" s="161" t="str">
        <x:v>Owner; engagement lead; PM/case manager; ops</x:v>
      </x:c>
      <x:c r="M21" s="161" t="str">
        <x:v>Core to model</x:v>
      </x:c>
      <x:c r="N21" s="161" t="str">
        <x:v>Intake, work orders, QA checklist, scorecard</x:v>
      </x:c>
      <x:c r="O21" s="161" t="str">
        <x:v>Sedang</x:v>
      </x:c>
      <x:c r="P21" s="161" t="str">
        <x:v>Partner failure and margin leakage</x:v>
      </x:c>
      <x:c r="Q21" s="161" t="str">
        <x:v>Tinggi</x:v>
      </x:c>
      <x:c r="R21" s="161" t="str">
        <x:v>High</x:v>
      </x:c>
      <x:c r="S21" s="161" t="str">
        <x:v>10-12 pages</x:v>
      </x:c>
      <x:c r="T21" s="161" t="str">
        <x:v>Problem-led, not catalog-led</x:v>
      </x:c>
      <x:c r="U21" s="161" t="str">
        <x:v>Case/process</x:v>
      </x:c>
      <x:c r="V21" s="161" t="str">
        <x:v>Repurposed</x:v>
      </x:c>
      <x:c r="W21" s="161" t="str">
        <x:v>Tinggi</x:v>
      </x:c>
      <x:c r="X21" s="161" t="str">
        <x:v>Tinggi</x:v>
      </x:c>
      <x:c r="Y21" s="161" t="str">
        <x:v>Maximum leverage and low fixed expert payroll</x:v>
      </x:c>
      <x:c r="Z21" s="161" t="str">
        <x:v>Brand owns outcomes it does not fully control</x:v>
      </x:c>
      <x:c r="AA21" s="161" t="str">
        <x:v>Contracts, RACI, evidence, backup, client disclosure</x:v>
      </x:c>
      <x:c r="AB21" s="161" t="str">
        <x:v>Unvetted partner or informal handoff</x:v>
      </x:c>
      <x:c r="AC21" s="161" t="str">
        <x:v>Partner and PM span measured</x:v>
      </x:c>
      <x:c r="AD21" s="162" t="n">
        <x:v>4.23</x:v>
      </x:c>
    </x:row>
    <x:row r="22" ht="48" customHeight="1">
      <x:c r="A22" s="160" t="str">
        <x:v>K17</x:v>
      </x:c>
      <x:c r="B22" s="161" t="str">
        <x:v>Digital Platform Legal-Ready</x:v>
      </x:c>
      <x:c r="C22" s="161" t="str">
        <x:v>Tipe/model</x:v>
      </x:c>
      <x:c r="D22" s="161" t="str">
        <x:v>EKSPERIMENTAL</x:v>
      </x:c>
      <x:c r="E22" s="161" t="str">
        <x:v>Adjacency offer for digital/agency market.</x:v>
      </x:c>
      <x:c r="F22" s="161" t="str">
        <x:v>Digital/PSE/data + setup</x:v>
      </x:c>
      <x:c r="G22" s="161" t="str">
        <x:v>L24 plus L02/L06</x:v>
      </x:c>
      <x:c r="H22" s="161" t="str">
        <x:v>B</x:v>
      </x:c>
      <x:c r="I22" s="161" t="str">
        <x:v>Startup/platform</x:v>
      </x:c>
      <x:c r="J22" s="161" t="str">
        <x:v>2-4 jam owner; Solution design and partner review</x:v>
      </x:c>
      <x:c r="K22" s="161" t="str">
        <x:v>4-5 orang + legal partners</x:v>
      </x:c>
      <x:c r="L22" s="161" t="str">
        <x:v>Owner; lead; analyst; ops; counsel partner</x:v>
      </x:c>
      <x:c r="M22" s="161" t="str">
        <x:v>High</x:v>
      </x:c>
      <x:c r="N22" s="161" t="str">
        <x:v>Questionnaire, templates, issue triage</x:v>
      </x:c>
      <x:c r="O22" s="161" t="str">
        <x:v>Tinggi</x:v>
      </x:c>
      <x:c r="P22" s="161" t="str">
        <x:v>Regulatory/legal liability</x:v>
      </x:c>
      <x:c r="Q22" s="161" t="str">
        <x:v>Tinggi</x:v>
      </x:c>
      <x:c r="R22" s="161" t="str">
        <x:v>High updates</x:v>
      </x:c>
      <x:c r="S22" s="161" t="str">
        <x:v>10-12 pages</x:v>
      </x:c>
      <x:c r="T22" s="161" t="str">
        <x:v>Very strong</x:v>
      </x:c>
      <x:c r="U22" s="161" t="str">
        <x:v>Very strong</x:v>
      </x:c>
      <x:c r="V22" s="161" t="str">
        <x:v>Strong</x:v>
      </x:c>
      <x:c r="W22" s="161" t="str">
        <x:v>Sedang-tinggi</x:v>
      </x:c>
      <x:c r="X22" s="161" t="str">
        <x:v>Tinggi</x:v>
      </x:c>
      <x:c r="Y22" s="161" t="str">
        <x:v>Agency adjacency and content leverage</x:v>
      </x:c>
      <x:c r="Z22" s="161" t="str">
        <x:v>Not evidenced in current positioning/capability</x:v>
      </x:c>
      <x:c r="AA22" s="161" t="str">
        <x:v>Qualified counsel, clear scope, pilot</x:v>
      </x:c>
      <x:c r="AB22" s="161" t="str">
        <x:v>Markets before reviewer exists</x:v>
      </x:c>
      <x:c r="AC22" s="161" t="str">
        <x:v>Pilot only</x:v>
      </x:c>
      <x:c r="AD22" s="162" t="n">
        <x:v>3.26</x:v>
      </x:c>
    </x:row>
    <x:row r="23" ht="48" customHeight="1">
      <x:c r="A23" s="163" t="str">
        <x:v>K18</x:v>
      </x:c>
      <x:c r="B23" s="164" t="str">
        <x:v>Project Permit Complete</x:v>
      </x:c>
      <x:c r="C23" s="164" t="str">
        <x:v>Tipe/model</x:v>
      </x:c>
      <x:c r="D23" s="164" t="str">
        <x:v>TOLAK untuk lean launch</x:v>
      </x:c>
      <x:c r="E23" s="164" t="str">
        <x:v>End-to-end land/location/environment/building/operational project permits.</x:v>
      </x:c>
      <x:c r="F23" s="164" t="str">
        <x:v>Full project permit chain</x:v>
      </x:c>
      <x:c r="G23" s="164" t="str">
        <x:v>L15-L20</x:v>
      </x:c>
      <x:c r="H23" s="164" t="str">
        <x:v>B/C conditional</x:v>
      </x:c>
      <x:c r="I23" s="164" t="str">
        <x:v>Large project owner</x:v>
      </x:c>
      <x:c r="J23" s="164" t="str">
        <x:v>4 jam+ owner; Heavy principal involvement</x:v>
      </x:c>
      <x:c r="K23" s="164" t="str">
        <x:v>7-10 orang + partners</x:v>
      </x:c>
      <x:c r="L23" s="164" t="str">
        <x:v>Principal; PMO; vertical experts; document control; ops</x:v>
      </x:c>
      <x:c r="M23" s="164" t="str">
        <x:v>Very high</x:v>
      </x:c>
      <x:c r="N23" s="164" t="str">
        <x:v>Complex PMIS</x:v>
      </x:c>
      <x:c r="O23" s="164" t="str">
        <x:v>Sangat tinggi</x:v>
      </x:c>
      <x:c r="P23" s="164" t="str">
        <x:v>Maximum schedule/reputation risk</x:v>
      </x:c>
      <x:c r="Q23" s="164" t="str">
        <x:v>Sangat tinggi</x:v>
      </x:c>
      <x:c r="R23" s="164" t="str">
        <x:v>Maximum</x:v>
      </x:c>
      <x:c r="S23" s="164" t="str">
        <x:v>15+ pages</x:v>
      </x:c>
      <x:c r="T23" s="164" t="str">
        <x:v>Strong but broad</x:v>
      </x:c>
      <x:c r="U23" s="164" t="str">
        <x:v>High</x:v>
      </x:c>
      <x:c r="V23" s="164" t="str">
        <x:v>High</x:v>
      </x:c>
      <x:c r="W23" s="164" t="str">
        <x:v>Sedang</x:v>
      </x:c>
      <x:c r="X23" s="164" t="str">
        <x:v>Sangat tinggi</x:v>
      </x:c>
      <x:c r="Y23" s="164" t="str">
        <x:v>Largest ticket and case-study potential</x:v>
      </x:c>
      <x:c r="Z23" s="164" t="str">
        <x:v>Contradicts lean intent and lacks proof/system</x:v>
      </x:c>
      <x:c r="AA23" s="164" t="str">
        <x:v>Dedicated business unit, experts, insurance/governance, proven cases</x:v>
      </x:c>
      <x:c r="AB23" s="164" t="str">
        <x:v>Attempted as first launch model</x:v>
      </x:c>
      <x:c r="AC23" s="164" t="str">
        <x:v>Not supportable from files</x:v>
      </x:c>
      <x:c r="AD23" s="165" t="n">
        <x:v>2.32</x:v>
      </x:c>
    </x:row>
  </x:sheetData>
  <x:mergeCells>
    <x:mergeCell ref="A1:AD1"/>
    <x:mergeCell ref="A2:AD2"/>
    <x:mergeCell ref="A3:AD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65" hidden="0" customWidth="1"/>
    <x:col min="5" max="5" width="28" hidden="0" customWidth="1"/>
    <x:col min="6" max="6" width="34" hidden="0" customWidth="1"/>
  </x:cols>
  <x:sheetData>
    <x:row r="1" ht="34" customHeight="1">
      <x:c r="A1" s="4" t="str">
        <x:v>Website Architecture After Business Decision</x:v>
      </x:c>
      <x:c r="B1" s="4" t="str">
        <x:v>Website Architecture After Business Decision</x:v>
      </x:c>
      <x:c r="C1" s="4" t="str">
        <x:v>Website Architecture After Business Decision</x:v>
      </x:c>
      <x:c r="D1" s="4" t="str">
        <x:v>Website Architecture After Business Decision</x:v>
      </x:c>
      <x:c r="E1" s="4" t="str">
        <x:v>Website Architecture After Business Decision</x:v>
      </x:c>
      <x:c r="F1" s="4" t="str">
        <x:v>Website Architecture After Business Decision</x:v>
      </x:c>
    </x:row>
    <x:row r="2" ht="28" customHeight="1">
      <x:c r="A2" s="7" t="str">
        <x:v>Business model → scenario → services → target → process → content → pages.</x:v>
      </x:c>
      <x:c r="B2" s="7" t="str">
        <x:v>Business model → scenario → services → target → process → content → pages.</x:v>
      </x:c>
      <x:c r="C2" s="7" t="str">
        <x:v>Business model → scenario → services → target → process → content → pages.</x:v>
      </x:c>
      <x:c r="D2" s="7" t="str">
        <x:v>Business model → scenario → services → target → process → content → pages.</x:v>
      </x:c>
      <x:c r="E2" s="7" t="str">
        <x:v>Business model → scenario → services → target → process → content → pages.</x:v>
      </x:c>
      <x:c r="F2" s="7" t="str">
        <x:v>Business model → scenario → services → target → process → content → pages.</x:v>
      </x:c>
    </x:row>
    <x:row r="3" ht="30" customHeight="1">
      <x:c r="A3" s="10" t="str">
        <x:v>No website code is changed.</x:v>
      </x:c>
      <x:c r="B3" s="10" t="str">
        <x:v>No website code is changed.</x:v>
      </x:c>
      <x:c r="C3" s="10" t="str">
        <x:v>No website code is changed.</x:v>
      </x:c>
      <x:c r="D3" s="10" t="str">
        <x:v>No website code is changed.</x:v>
      </x:c>
      <x:c r="E3" s="10" t="str">
        <x:v>No website code is changed.</x:v>
      </x:c>
      <x:c r="F3" s="10" t="str">
        <x:v>No website code is changed.</x:v>
      </x:c>
    </x:row>
    <x:row r="5" ht="34" customHeight="1">
      <x:c r="A5" s="22" t="str">
        <x:v>URL</x:v>
      </x:c>
      <x:c r="B5" s="23" t="str">
        <x:v>Page</x:v>
      </x:c>
      <x:c r="C5" s="23" t="str">
        <x:v>Decision</x:v>
      </x:c>
      <x:c r="D5" s="23" t="str">
        <x:v>Purpose/content</x:v>
      </x:c>
      <x:c r="E5" s="23" t="str">
        <x:v>CTA</x:v>
      </x:c>
      <x:c r="F5" s="24" t="str">
        <x:v>Relationship</x:v>
      </x:c>
    </x:row>
    <x:row r="6" ht="48" customHeight="1">
      <x:c r="A6" s="95" t="str">
        <x:v>/</x:v>
      </x:c>
      <x:c r="B6" s="96" t="str">
        <x:v>Home</x:v>
      </x:c>
      <x:c r="C6" s="96" t="str">
        <x:v>Keep/Update</x:v>
      </x:c>
      <x:c r="D6" s="96" t="str">
        <x:v>Three-offer proposition, target problems, process, proof status, CTA</x:v>
      </x:c>
      <x:c r="E6" s="96" t="str">
        <x:v>Assess Your Permit Needs</x:v>
      </x:c>
      <x:c r="F6" s="97" t="str">
        <x:v>All core pages</x:v>
      </x:c>
    </x:row>
    <x:row r="7" ht="48" customHeight="1">
      <x:c r="A7" s="98" t="str">
        <x:v>/services</x:v>
      </x:c>
      <x:c r="B7" s="99" t="str">
        <x:v>Services</x:v>
      </x:c>
      <x:c r="C7" s="99" t="str">
        <x:v>Keep/Restructure</x:v>
      </x:c>
      <x:c r="D7" s="99" t="str">
        <x:v>Three core offers plus supporting modules; remove 15-item universal catalog</x:v>
      </x:c>
      <x:c r="E7" s="99" t="str">
        <x:v>Start Assessment</x:v>
      </x:c>
      <x:c r="F7" s="100" t="str">
        <x:v>Three service pages</x:v>
      </x:c>
    </x:row>
    <x:row r="8" ht="48" customHeight="1">
      <x:c r="A8" s="98" t="str">
        <x:v>/services/regulatory-readiness</x:v>
      </x:c>
      <x:c r="B8" s="99" t="str">
        <x:v>Regulatory Readiness &amp; Permit Roadmap</x:v>
      </x:c>
      <x:c r="C8" s="99" t="str">
        <x:v>Create</x:v>
      </x:c>
      <x:c r="D8" s="99" t="str">
        <x:v>Problem, fit, deliverable, process, exclusions, evidence, CTA</x:v>
      </x:c>
      <x:c r="E8" s="99" t="str">
        <x:v>Request Readiness Assessment</x:v>
      </x:c>
      <x:c r="F8" s="100" t="str">
        <x:v>Compliance and project pages</x:v>
      </x:c>
    </x:row>
    <x:row r="9" ht="48" customHeight="1">
      <x:c r="A9" s="98" t="str">
        <x:v>/services/regulatory-care</x:v>
      </x:c>
      <x:c r="B9" s="99" t="str">
        <x:v>Annual Regulatory Care</x:v>
      </x:c>
      <x:c r="C9" s="99" t="str">
        <x:v>Create</x:v>
      </x:c>
      <x:c r="D9" s="99" t="str">
        <x:v>Audit onboarding, calendar, LKPM/renewal modules, SLA boundaries</x:v>
      </x:c>
      <x:c r="E9" s="99" t="str">
        <x:v>Discuss Regulatory Care</x:v>
      </x:c>
      <x:c r="F9" s="100" t="str">
        <x:v>Readiness and insights</x:v>
      </x:c>
    </x:row>
    <x:row r="10" ht="48" customHeight="1">
      <x:c r="A10" s="98" t="str">
        <x:v>/services/project-permit-management</x:v>
      </x:c>
      <x:c r="B10" s="99" t="str">
        <x:v>Selected Project &amp; Investment Permit Management</x:v>
      </x:c>
      <x:c r="C10" s="99" t="str">
        <x:v>Create after partner gate</x:v>
      </x:c>
      <x:c r="D10" s="99" t="str">
        <x:v>Paid discovery, PM scope, selected modules, dependencies, partner disclosure</x:v>
      </x:c>
      <x:c r="E10" s="99" t="str">
        <x:v>Discuss a Project</x:v>
      </x:c>
      <x:c r="F10" s="100" t="str">
        <x:v>Readiness and profile</x:v>
      </x:c>
    </x:row>
    <x:row r="11" ht="48" customHeight="1">
      <x:c r="A11" s="98" t="str">
        <x:v>/profile</x:v>
      </x:c>
      <x:c r="B11" s="99" t="str">
        <x:v>Profile</x:v>
      </x:c>
      <x:c r="C11" s="99" t="str">
        <x:v>Keep/Update</x:v>
      </x:c>
      <x:c r="D11" s="99" t="str">
        <x:v>PT Karya operator, 2015, Tangerang; real responsible people only</x:v>
      </x:c>
      <x:c r="E11" s="99" t="str">
        <x:v>Meet the Team / Contact</x:v>
      </x:c>
      <x:c r="F11" s="100" t="str">
        <x:v>Services and contact</x:v>
      </x:c>
    </x:row>
    <x:row r="12" ht="48" customHeight="1">
      <x:c r="A12" s="98" t="str">
        <x:v>/how-we-work</x:v>
      </x:c>
      <x:c r="B12" s="99" t="str">
        <x:v>How We Work</x:v>
      </x:c>
      <x:c r="C12" s="99" t="str">
        <x:v>Merge initially</x:v>
      </x:c>
      <x:c r="D12" s="99" t="str">
        <x:v>Assess-map-prepare-coordinate-monitor-follow-up; can be a Home/Services section</x:v>
      </x:c>
      <x:c r="E12" s="99" t="str">
        <x:v>Start Assessment</x:v>
      </x:c>
      <x:c r="F12" s="100" t="str">
        <x:v>Services</x:v>
      </x:c>
    </x:row>
    <x:row r="13" ht="48" customHeight="1">
      <x:c r="A13" s="98" t="str">
        <x:v>/experiences</x:v>
      </x:c>
      <x:c r="B13" s="99" t="str">
        <x:v>Experiences</x:v>
      </x:c>
      <x:c r="C13" s="99" t="str">
        <x:v>Hide until proof</x:v>
      </x:c>
      <x:c r="D13" s="99" t="str">
        <x:v>Only real, consented, redacted cases</x:v>
      </x:c>
      <x:c r="E13" s="99" t="str">
        <x:v>Discuss Similar Need</x:v>
      </x:c>
      <x:c r="F13" s="100" t="str">
        <x:v>Relevant service</x:v>
      </x:c>
    </x:row>
    <x:row r="14" ht="48" customHeight="1">
      <x:c r="A14" s="98" t="str">
        <x:v>/insights</x:v>
      </x:c>
      <x:c r="B14" s="99" t="str">
        <x:v>Insights</x:v>
      </x:c>
      <x:c r="C14" s="99" t="str">
        <x:v>Keep preview; launch after review</x:v>
      </x:c>
      <x:c r="D14" s="99" t="str">
        <x:v>Three focused clusters; bilingual governance</x:v>
      </x:c>
      <x:c r="E14" s="99" t="str">
        <x:v>Read Related Service</x:v>
      </x:c>
      <x:c r="F14" s="100" t="str">
        <x:v>Service pages</x:v>
      </x:c>
    </x:row>
    <x:row r="15" ht="48" customHeight="1">
      <x:c r="A15" s="98" t="str">
        <x:v>/contact</x:v>
      </x:c>
      <x:c r="B15" s="99" t="str">
        <x:v>Contact / Assessment</x:v>
      </x:c>
      <x:c r="C15" s="99" t="str">
        <x:v>Keep/Update</x:v>
      </x:c>
      <x:c r="D15" s="99" t="str">
        <x:v>Qualified intake, no sensitive uploads, Resend flow, privacy notice</x:v>
      </x:c>
      <x:c r="E15" s="99" t="str">
        <x:v>Submit Assessment</x:v>
      </x:c>
      <x:c r="F15" s="100" t="str">
        <x:v>Thank-you modal</x:v>
      </x:c>
    </x:row>
    <x:row r="16" ht="48" customHeight="1">
      <x:c r="A16" s="98" t="str">
        <x:v>/privacy</x:v>
      </x:c>
      <x:c r="B16" s="99" t="str">
        <x:v>Privacy Policy</x:v>
      </x:c>
      <x:c r="C16" s="99" t="str">
        <x:v>Create before launch</x:v>
      </x:c>
      <x:c r="D16" s="99" t="str">
        <x:v>Controller/operator, Resend, retention, rights, contact</x:v>
      </x:c>
      <x:c r="E16" s="99" t="str">
        <x:v>—</x:v>
      </x:c>
      <x:c r="F16" s="100" t="str">
        <x:v>Contact/form</x:v>
      </x:c>
    </x:row>
    <x:row r="17" ht="48" customHeight="1">
      <x:c r="A17" s="98" t="str">
        <x:v>/terms</x:v>
      </x:c>
      <x:c r="B17" s="99" t="str">
        <x:v>Terms of Use</x:v>
      </x:c>
      <x:c r="C17" s="99" t="str">
        <x:v>Create before launch</x:v>
      </x:c>
      <x:c r="D17" s="99" t="str">
        <x:v>Website use, no advice/guarantee, IP, links, contact</x:v>
      </x:c>
      <x:c r="E17" s="99" t="str">
        <x:v>—</x:v>
      </x:c>
      <x:c r="F17" s="100" t="str">
        <x:v>Footer</x:v>
      </x:c>
    </x:row>
    <x:row r="18" ht="48" customHeight="1">
      <x:c r="A18" s="101" t="str">
        <x:v>/faq</x:v>
      </x:c>
      <x:c r="B18" s="102" t="str">
        <x:v>FAQ</x:v>
      </x:c>
      <x:c r="C18" s="102" t="str">
        <x:v>Defer or embed</x:v>
      </x:c>
      <x:c r="D18" s="102" t="str">
        <x:v>Only repeated verified questions; avoid generic filler</x:v>
      </x:c>
      <x:c r="E18" s="102" t="str">
        <x:v>Start Assessment</x:v>
      </x:c>
      <x:c r="F18" s="103" t="str">
        <x:v>Services/contact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72" hidden="0" customWidth="1"/>
    <x:col min="5" max="5" width="32" hidden="0" customWidth="1"/>
    <x:col min="6" max="6" width="32" hidden="0" customWidth="1"/>
    <x:col min="7" max="7" width="34" hidden="0" customWidth="1"/>
  </x:cols>
  <x:sheetData>
    <x:row r="1" ht="34" customHeight="1">
      <x:c r="A1" s="4" t="str">
        <x:v>SEO, YouTube &amp; Social Content Strategy</x:v>
      </x:c>
      <x:c r="B1" s="4" t="str">
        <x:v>SEO, YouTube &amp; Social Content Strategy</x:v>
      </x:c>
      <x:c r="C1" s="4" t="str">
        <x:v>SEO, YouTube &amp; Social Content Strategy</x:v>
      </x:c>
      <x:c r="D1" s="4" t="str">
        <x:v>SEO, YouTube &amp; Social Content Strategy</x:v>
      </x:c>
      <x:c r="E1" s="4" t="str">
        <x:v>SEO, YouTube &amp; Social Content Strategy</x:v>
      </x:c>
      <x:c r="F1" s="4" t="str">
        <x:v>SEO, YouTube &amp; Social Content Strategy</x:v>
      </x:c>
      <x:c r="G1" s="4" t="str">
        <x:v>SEO, YouTube &amp; Social Content Strategy</x:v>
      </x:c>
    </x:row>
    <x:row r="2" ht="28" customHeight="1">
      <x:c r="A2" s="7" t="str">
        <x:v>Three clusters; one reviewed pillar reused across channels.</x:v>
      </x:c>
      <x:c r="B2" s="7" t="str">
        <x:v>Three clusters; one reviewed pillar reused across channels.</x:v>
      </x:c>
      <x:c r="C2" s="7" t="str">
        <x:v>Three clusters; one reviewed pillar reused across channels.</x:v>
      </x:c>
      <x:c r="D2" s="7" t="str">
        <x:v>Three clusters; one reviewed pillar reused across channels.</x:v>
      </x:c>
      <x:c r="E2" s="7" t="str">
        <x:v>Three clusters; one reviewed pillar reused across channels.</x:v>
      </x:c>
      <x:c r="F2" s="7" t="str">
        <x:v>Three clusters; one reviewed pillar reused across channels.</x:v>
      </x:c>
      <x:c r="G2" s="7" t="str">
        <x:v>Three clusters; one reviewed pillar reused across channels.</x:v>
      </x:c>
    </x:row>
    <x:row r="3" ht="30" customHeight="1">
      <x:c r="A3" s="10" t="str">
        <x:v>Current six localized articles remain preview-only until competent review.</x:v>
      </x:c>
      <x:c r="B3" s="10" t="str">
        <x:v>Current six localized articles remain preview-only until competent review.</x:v>
      </x:c>
      <x:c r="C3" s="10" t="str">
        <x:v>Current six localized articles remain preview-only until competent review.</x:v>
      </x:c>
      <x:c r="D3" s="10" t="str">
        <x:v>Current six localized articles remain preview-only until competent review.</x:v>
      </x:c>
      <x:c r="E3" s="10" t="str">
        <x:v>Current six localized articles remain preview-only until competent review.</x:v>
      </x:c>
      <x:c r="F3" s="10" t="str">
        <x:v>Current six localized articles remain preview-only until competent review.</x:v>
      </x:c>
      <x:c r="G3" s="10" t="str">
        <x:v>Current six localized articles remain preview-only until competent review.</x:v>
      </x:c>
    </x:row>
    <x:row r="5" ht="34" customHeight="1">
      <x:c r="A5" s="22" t="str">
        <x:v>Cluster</x:v>
      </x:c>
      <x:c r="B5" s="23" t="str">
        <x:v>Theme</x:v>
      </x:c>
      <x:c r="C5" s="23" t="str">
        <x:v>Intent</x:v>
      </x:c>
      <x:c r="D5" s="23" t="str">
        <x:v>Priority topics &amp; existing asset</x:v>
      </x:c>
      <x:c r="E5" s="23" t="str">
        <x:v>YouTube</x:v>
      </x:c>
      <x:c r="F5" s="23" t="str">
        <x:v>Social</x:v>
      </x:c>
      <x:c r="G5" s="24" t="str">
        <x:v>Maintenance</x:v>
      </x:c>
    </x:row>
    <x:row r="6" ht="48" customHeight="1">
      <x:c r="A6" s="95" t="str">
        <x:v>Cluster 1</x:v>
      </x:c>
      <x:c r="B6" s="96" t="str">
        <x:v>Regulatory readiness / KBLI / OSS-RBA</x:v>
      </x:c>
      <x:c r="C6" s="96" t="str">
        <x:v>Commercial + informational</x:v>
      </x:c>
      <x:c r="D6" s="96" t="str">
        <x:v>What NIB does not complete; KBLI mismatch; permit dependency map | Existing asset: Review existing risk-based article</x:v>
      </x:c>
      <x:c r="E6" s="96" t="str">
        <x:v>One explainer video from pillar</x:v>
      </x:c>
      <x:c r="F6" s="96" t="str">
        <x:v>Short checklist/carousel</x:v>
      </x:c>
      <x:c r="G6" s="97" t="str">
        <x:v>High update sensitivity</x:v>
      </x:c>
    </x:row>
    <x:row r="7" ht="48" customHeight="1">
      <x:c r="A7" s="98" t="str">
        <x:v>Cluster 2</x:v>
      </x:c>
      <x:c r="B7" s="99" t="str">
        <x:v>Post-permit compliance</x:v>
      </x:c>
      <x:c r="C7" s="99" t="str">
        <x:v>Commercial + informational</x:v>
      </x:c>
      <x:c r="D7" s="99" t="str">
        <x:v>LKPM, renewal calendar, obligations after NIB, audit findings | Existing asset: Review existing after-NIB article</x:v>
      </x:c>
      <x:c r="E7" s="99" t="str">
        <x:v>Compliance calendar walkthrough</x:v>
      </x:c>
      <x:c r="F7" s="99" t="str">
        <x:v>Deadline/checklist snippets</x:v>
      </x:c>
      <x:c r="G7" s="100" t="str">
        <x:v>Highest recurring relevance; reviewer required</x:v>
      </x:c>
    </x:row>
    <x:row r="8" ht="48" customHeight="1">
      <x:c r="A8" s="101" t="str">
        <x:v>Cluster 3</x:v>
      </x:c>
      <x:c r="B8" s="102" t="str">
        <x:v>Project and investment permits</x:v>
      </x:c>
      <x:c r="C8" s="102" t="str">
        <x:v>Commercial + thought leadership</x:v>
      </x:c>
      <x:c r="D8" s="102" t="str">
        <x:v>Expansion legality checklist; KKPR-environment-PBG-SLF dependency; paid discovery | Existing asset: Review existing expansion checklist</x:v>
      </x:c>
      <x:c r="E8" s="102" t="str">
        <x:v>Project dependency map</x:v>
      </x:c>
      <x:c r="F8" s="102" t="str">
        <x:v>Project-risk series</x:v>
      </x:c>
      <x:c r="G8" s="103" t="str">
        <x:v>Publish only selected modules/partner proof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2" hidden="0" customWidth="1"/>
    <x:col min="4" max="4" width="35" hidden="0" customWidth="1"/>
    <x:col min="5" max="5" width="52" hidden="0" customWidth="1"/>
  </x:cols>
  <x:sheetData>
    <x:row r="1" ht="34" customHeight="1">
      <x:c r="A1" s="4" t="str">
        <x:v>Cross-File Conflicts &amp; Resolution</x:v>
      </x:c>
      <x:c r="B1" s="4" t="str">
        <x:v>Cross-File Conflicts &amp; Resolution</x:v>
      </x:c>
      <x:c r="C1" s="4" t="str">
        <x:v>Cross-File Conflicts &amp; Resolution</x:v>
      </x:c>
      <x:c r="D1" s="4" t="str">
        <x:v>Cross-File Conflicts &amp; Resolution</x:v>
      </x:c>
      <x:c r="E1" s="4" t="str">
        <x:v>Cross-File Conflicts &amp; Resolution</x:v>
      </x:c>
    </x:row>
    <x:row r="2" ht="28" customHeight="1">
      <x:c r="A2" s="7" t="str">
        <x:v>Aligned/current evidence wins except dummy, unsafe, unconfirmed, or unfinished implementation.</x:v>
      </x:c>
      <x:c r="B2" s="7" t="str">
        <x:v>Aligned/current evidence wins except dummy, unsafe, unconfirmed, or unfinished implementation.</x:v>
      </x:c>
      <x:c r="C2" s="7" t="str">
        <x:v>Aligned/current evidence wins except dummy, unsafe, unconfirmed, or unfinished implementation.</x:v>
      </x:c>
      <x:c r="D2" s="7" t="str">
        <x:v>Aligned/current evidence wins except dummy, unsafe, unconfirmed, or unfinished implementation.</x:v>
      </x:c>
      <x:c r="E2" s="7" t="str">
        <x:v>Aligned/current evidence wins except dummy, unsafe, unconfirmed, or unfinished implementation.</x:v>
      </x:c>
    </x:row>
    <x:row r="3" ht="30" customHeight="1">
      <x:c r="A3" s="10" t="str">
        <x:v>Do not align strategy to placeholder content.</x:v>
      </x:c>
      <x:c r="B3" s="10" t="str">
        <x:v>Do not align strategy to placeholder content.</x:v>
      </x:c>
      <x:c r="C3" s="10" t="str">
        <x:v>Do not align strategy to placeholder content.</x:v>
      </x:c>
      <x:c r="D3" s="10" t="str">
        <x:v>Do not align strategy to placeholder content.</x:v>
      </x:c>
      <x:c r="E3" s="10" t="str">
        <x:v>Do not align strategy to placeholder content.</x:v>
      </x:c>
    </x:row>
    <x:row r="5" ht="34" customHeight="1">
      <x:c r="A5" s="22" t="str">
        <x:v>Topic</x:v>
      </x:c>
      <x:c r="B5" s="23" t="str">
        <x:v>Conflict</x:v>
      </x:c>
      <x:c r="C5" s="23" t="str">
        <x:v>Priority state</x:v>
      </x:c>
      <x:c r="D5" s="23" t="str">
        <x:v>Source</x:v>
      </x:c>
      <x:c r="E5" s="24" t="str">
        <x:v>Resolution</x:v>
      </x:c>
    </x:row>
    <x:row r="6" ht="48" customHeight="1">
      <x:c r="A6" s="95" t="str">
        <x:v>Legal/brand relationship</x:v>
      </x:c>
      <x:c r="B6" s="96" t="str">
        <x:v>Old discovery phrasing implies G&amp;P under/parented by Kultivate</x:v>
      </x:c>
      <x:c r="C6" s="96" t="str">
        <x:v>PT Karya Usaha Sukses operates the brand; 'by Kultivate' is a public descriptor only</x:v>
      </x:c>
      <x:c r="D6" s="96" t="str">
        <x:v>S01 D-03,D-10; S02 T71; S03 T5</x:v>
      </x:c>
      <x:c r="E6" s="97" t="str">
        <x:v>Use PT Karya as legal operator; do not claim Kultivate as legal parent without proof</x:v>
      </x:c>
    </x:row>
    <x:row r="7" ht="48" customHeight="1">
      <x:c r="A7" s="98" t="str">
        <x:v>Service breadth</x:v>
      </x:c>
      <x:c r="B7" s="99" t="str">
        <x:v>Old docs/website prototype expose 15 items and broad sectors</x:v>
      </x:c>
      <x:c r="C7" s="99" t="str">
        <x:v>Four approved categories; 15 items are high-fidelity prototype, not final portfolio</x:v>
      </x:c>
      <x:c r="D7" s="99" t="str">
        <x:v>S01 D-05; S03 T10; S05 W-007-W-008; S10</x:v>
      </x:c>
      <x:c r="E7" s="100" t="str">
        <x:v>Reduce public portfolio after business validation</x:v>
      </x:c>
    </x:row>
    <x:row r="8" ht="48" customHeight="1">
      <x:c r="A8" s="98" t="str">
        <x:v>Positioning</x:v>
      </x:c>
      <x:c r="B8" s="99" t="str">
        <x:v>Older blueprint gives Legal Services and Licensing equal weight</x:v>
      </x:c>
      <x:c r="C8" s="99" t="str">
        <x:v>Aligned blueprint is permit handling first, legal support second</x:v>
      </x:c>
      <x:c r="D8" s="99" t="str">
        <x:v>S03 T7; S13; S24</x:v>
      </x:c>
      <x:c r="E8" s="100" t="str">
        <x:v>Retain permit-first</x:v>
      </x:c>
    </x:row>
    <x:row r="9" ht="48" customHeight="1">
      <x:c r="A9" s="98" t="str">
        <x:v>Source priority</x:v>
      </x:c>
      <x:c r="B9" s="99" t="str">
        <x:v>Older F2 hierarchy can prioritize discovery/plans</x:v>
      </x:c>
      <x:c r="C9" s="99" t="str">
        <x:v>Aligned decision prioritizes current website, except dummy/unsafe/legal conflicts</x:v>
      </x:c>
      <x:c r="D9" s="99" t="str">
        <x:v>S01 D-01; S04</x:v>
      </x:c>
      <x:c r="E9" s="100" t="str">
        <x:v>Use current aligned evidence and flag prototypes</x:v>
      </x:c>
    </x:row>
    <x:row r="10" ht="48" customHeight="1">
      <x:c r="A10" s="98" t="str">
        <x:v>Contact</x:v>
      </x:c>
      <x:c r="B10" s="99" t="str">
        <x:v>Website contains phone/email</x:v>
      </x:c>
      <x:c r="C10" s="99" t="str">
        <x:v>They are project/Kultivate contacts, not confirmed public GP contacts</x:v>
      </x:c>
      <x:c r="D10" s="99" t="str">
        <x:v>S01 D-02; S02 T8,T108; S07</x:v>
      </x:c>
      <x:c r="E10" s="100" t="str">
        <x:v>Do not treat as company fact</x:v>
      </x:c>
    </x:row>
    <x:row r="11" ht="48" customHeight="1">
      <x:c r="A11" s="98" t="str">
        <x:v>Team/statistics</x:v>
      </x:c>
      <x:c r="B11" s="99" t="str">
        <x:v>Website displays names, photos, stats, sectors</x:v>
      </x:c>
      <x:c r="C11" s="99" t="str">
        <x:v>Team profiles and proof metrics are dummy/unproven</x:v>
      </x:c>
      <x:c r="D11" s="99" t="str">
        <x:v>S01 D-04; S02 T94,T108; S07</x:v>
      </x:c>
      <x:c r="E11" s="100" t="str">
        <x:v>Remove from production claims until verified</x:v>
      </x:c>
    </x:row>
    <x:row r="12" ht="48" customHeight="1">
      <x:c r="A12" s="98" t="str">
        <x:v>Articles</x:v>
      </x:c>
      <x:c r="B12" s="99" t="str">
        <x:v>Six article files are draft:false in code</x:v>
      </x:c>
      <x:c r="C12" s="99" t="str">
        <x:v>Decision status is preview-only and no launch</x:v>
      </x:c>
      <x:c r="D12" s="99" t="str">
        <x:v>S01 D-06; S07; S21</x:v>
      </x:c>
      <x:c r="E12" s="100" t="str">
        <x:v>Gate publishing on competent review</x:v>
      </x:c>
    </x:row>
    <x:row r="13" ht="48" customHeight="1">
      <x:c r="A13" s="98" t="str">
        <x:v>Inquiry success</x:v>
      </x:c>
      <x:c r="B13" s="99" t="str">
        <x:v>Current form success is inline</x:v>
      </x:c>
      <x:c r="C13" s="99" t="str">
        <x:v>Approved target is modal-like thank-you</x:v>
      </x:c>
      <x:c r="D13" s="99" t="str">
        <x:v>S01 D-08; S04; S09</x:v>
      </x:c>
      <x:c r="E13" s="100" t="str">
        <x:v>Website implementation backlog; no strategic impact</x:v>
      </x:c>
    </x:row>
    <x:row r="14" ht="48" customHeight="1">
      <x:c r="A14" s="98" t="str">
        <x:v>Email workflow</x:v>
      </x:c>
      <x:c r="B14" s="99" t="str">
        <x:v>Older plans mention Sheets/CRM/manual combinations</x:v>
      </x:c>
      <x:c r="C14" s="99" t="str">
        <x:v>Current decision: Resend only</x:v>
      </x:c>
      <x:c r="D14" s="99" t="str">
        <x:v>S01 D-11; S02 T87; S17</x:v>
      </x:c>
      <x:c r="E14" s="100" t="str">
        <x:v>No CRM/storage claim</x:v>
      </x:c>
    </x:row>
    <x:row r="15" ht="48" customHeight="1">
      <x:c r="A15" s="101" t="str">
        <x:v>Legal pages</x:v>
      </x:c>
      <x:c r="B15" s="102" t="str">
        <x:v>Privacy/Terms appear in planned architecture</x:v>
      </x:c>
      <x:c r="C15" s="102" t="str">
        <x:v>No approved copy/file currently exists</x:v>
      </x:c>
      <x:c r="D15" s="102" t="str">
        <x:v>S01 D-09; S06; S08; S19</x:v>
      </x:c>
      <x:c r="E15" s="103" t="str">
        <x:v>Required launch blockers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0" hidden="0" customWidth="1"/>
    <x:col min="4" max="4" width="62" hidden="0" customWidth="1"/>
    <x:col min="5" max="5" width="24" hidden="0" customWidth="1"/>
  </x:cols>
  <x:sheetData>
    <x:row r="1" ht="34" customHeight="1">
      <x:c r="A1" s="4" t="str">
        <x:v>Risks, Missing Information &amp; Controls</x:v>
      </x:c>
      <x:c r="B1" s="4" t="str">
        <x:v>Risks, Missing Information &amp; Controls</x:v>
      </x:c>
      <x:c r="C1" s="4" t="str">
        <x:v>Risks, Missing Information &amp; Controls</x:v>
      </x:c>
      <x:c r="D1" s="4" t="str">
        <x:v>Risks, Missing Information &amp; Controls</x:v>
      </x:c>
      <x:c r="E1" s="4" t="str">
        <x:v>Risks, Missing Information &amp; Controls</x:v>
      </x:c>
    </x:row>
    <x:row r="2" ht="28" customHeight="1">
      <x:c r="A2" s="7" t="str">
        <x:v>Critical blockers before production or expansion.</x:v>
      </x:c>
      <x:c r="B2" s="7" t="str">
        <x:v>Critical blockers before production or expansion.</x:v>
      </x:c>
      <x:c r="C2" s="7" t="str">
        <x:v>Critical blockers before production or expansion.</x:v>
      </x:c>
      <x:c r="D2" s="7" t="str">
        <x:v>Critical blockers before production or expansion.</x:v>
      </x:c>
      <x:c r="E2" s="7" t="str">
        <x:v>Critical blockers before production or expansion.</x:v>
      </x:c>
    </x:row>
    <x:row r="3" ht="30" customHeight="1">
      <x:c r="A3" s="10" t="str">
        <x:v>Commercial and capacity gaps prevent quantitative projections.</x:v>
      </x:c>
      <x:c r="B3" s="10" t="str">
        <x:v>Commercial and capacity gaps prevent quantitative projections.</x:v>
      </x:c>
      <x:c r="C3" s="10" t="str">
        <x:v>Commercial and capacity gaps prevent quantitative projections.</x:v>
      </x:c>
      <x:c r="D3" s="10" t="str">
        <x:v>Commercial and capacity gaps prevent quantitative projections.</x:v>
      </x:c>
      <x:c r="E3" s="10" t="str">
        <x:v>Commercial and capacity gaps prevent quantitative projections.</x:v>
      </x:c>
    </x:row>
    <x:row r="5" ht="34" customHeight="1">
      <x:c r="A5" s="22" t="str">
        <x:v>Risk</x:v>
      </x:c>
      <x:c r="B5" s="23" t="str">
        <x:v>Severity</x:v>
      </x:c>
      <x:c r="C5" s="23" t="str">
        <x:v>Why</x:v>
      </x:c>
      <x:c r="D5" s="23" t="str">
        <x:v>Mitigation</x:v>
      </x:c>
      <x:c r="E5" s="24" t="str">
        <x:v>Owner</x:v>
      </x:c>
    </x:row>
    <x:row r="6">
      <x:c r="A6" s="95" t="str">
        <x:v>Over-broad portfolio</x:v>
      </x:c>
      <x:c r="B6" s="96" t="str">
        <x:v>High</x:v>
      </x:c>
      <x:c r="C6" s="96" t="str">
        <x:v>Every service creates sales, delivery, regulation, and content debt</x:v>
      </x:c>
      <x:c r="D6" s="96" t="str">
        <x:v>Three public offers; one B vertical; quarterly portfolio kill/keep review</x:v>
      </x:c>
      <x:c r="E6" s="97" t="str">
        <x:v>Owner</x:v>
      </x:c>
    </x:row>
    <x:row r="7">
      <x:c r="A7" s="98" t="str">
        <x:v>Unverified capability</x:v>
      </x:c>
      <x:c r="B7" s="99" t="str">
        <x:v>Critical</x:v>
      </x:c>
      <x:c r="C7" s="99" t="str">
        <x:v>Advanced sectors are opportunity statements, not proof</x:v>
      </x:c>
      <x:c r="D7" s="99" t="str">
        <x:v>No public offer before named expert, scope, SOP, and case/partner evidence</x:v>
      </x:c>
      <x:c r="E7" s="100" t="str">
        <x:v>Owner + service lead</x:v>
      </x:c>
    </x:row>
    <x:row r="8">
      <x:c r="A8" s="98" t="str">
        <x:v>Authority delay/blame</x:v>
      </x:c>
      <x:c r="B8" s="99" t="str">
        <x:v>High</x:v>
      </x:c>
      <x:c r="C8" s="99" t="str">
        <x:v>Outcomes depend on government and external parties</x:v>
      </x:c>
      <x:c r="D8" s="99" t="str">
        <x:v>No guarantee; dependency log; realistic estimate; client responsibility; staged updates</x:v>
      </x:c>
      <x:c r="E8" s="100" t="str">
        <x:v>Engagement lead</x:v>
      </x:c>
    </x:row>
    <x:row r="9">
      <x:c r="A9" s="98" t="str">
        <x:v>Partner failure</x:v>
      </x:c>
      <x:c r="B9" s="99" t="str">
        <x:v>High</x:v>
      </x:c>
      <x:c r="C9" s="99" t="str">
        <x:v>Front-end brand absorbs execution failure</x:v>
      </x:c>
      <x:c r="D9" s="99" t="str">
        <x:v>Qualification, contract, RACI, SLA, QA, backup partner, scorecard</x:v>
      </x:c>
      <x:c r="E9" s="100" t="str">
        <x:v>Owner + PM</x:v>
      </x:c>
    </x:row>
    <x:row r="10">
      <x:c r="A10" s="98" t="str">
        <x:v>Owner bottleneck</x:v>
      </x:c>
      <x:c r="B10" s="99" t="str">
        <x:v>High</x:v>
      </x:c>
      <x:c r="C10" s="99" t="str">
        <x:v>Consulting/project escalation can exceed 2 hours/day</x:v>
      </x:c>
      <x:c r="D10" s="99" t="str">
        <x:v>Decision rights; office hours; paid discovery; escalation thresholds; delegated service lead</x:v>
      </x:c>
      <x:c r="E10" s="100" t="str">
        <x:v>Owner</x:v>
      </x:c>
    </x:row>
    <x:row r="11">
      <x:c r="A11" s="98" t="str">
        <x:v>Content/regulatory drift</x:v>
      </x:c>
      <x:c r="B11" s="99" t="str">
        <x:v>High</x:v>
      </x:c>
      <x:c r="C11" s="99" t="str">
        <x:v>Bilingual service and article content doubles review load</x:v>
      </x:c>
      <x:c r="D11" s="99" t="str">
        <x:v>Core-page-first; reviewer; update triggers; source/effective-date log; archive stale content</x:v>
      </x:c>
      <x:c r="E11" s="100" t="str">
        <x:v>Content owner + reviewer</x:v>
      </x:c>
    </x:row>
    <x:row r="12">
      <x:c r="A12" s="98" t="str">
        <x:v>Dummy leakage</x:v>
      </x:c>
      <x:c r="B12" s="99" t="str">
        <x:v>Critical</x:v>
      </x:c>
      <x:c r="C12" s="99" t="str">
        <x:v>Prototype team/stats/services/articles may be mistaken as fact</x:v>
      </x:c>
      <x:c r="D12" s="99" t="str">
        <x:v>Production gate, placeholder register, noindex/preview separation, metadata/schema audit</x:v>
      </x:c>
      <x:c r="E12" s="100" t="str">
        <x:v>Project lead</x:v>
      </x:c>
    </x:row>
    <x:row r="13">
      <x:c r="A13" s="98" t="str">
        <x:v>Retainer scope creep</x:v>
      </x:c>
      <x:c r="B13" s="99" t="str">
        <x:v>High</x:v>
      </x:c>
      <x:c r="C13" s="99" t="str">
        <x:v>Unlimited advisory destroys margin and owner time</x:v>
      </x:c>
      <x:c r="D13" s="99" t="str">
        <x:v>Tiered inclusions; ticket categories; fair-use; exclusions; change order</x:v>
      </x:c>
      <x:c r="E13" s="100" t="str">
        <x:v>Service lead</x:v>
      </x:c>
    </x:row>
    <x:row r="14">
      <x:c r="A14" s="101" t="str">
        <x:v>Sensitive data intake</x:v>
      </x:c>
      <x:c r="B14" s="102" t="str">
        <x:v>High</x:v>
      </x:c>
      <x:c r="C14" s="102" t="str">
        <x:v>Current form should not receive confidential documents</x:v>
      </x:c>
      <x:c r="D14" s="102" t="str">
        <x:v>Minimal form; secure follow-up channel; privacy notice; no attachment at first touch</x:v>
      </x:c>
      <x:c r="E14" s="103" t="str">
        <x:v>Ops + legal reviewer</x:v>
      </x:c>
    </x:row>
    <x:row r="17" ht="34" customHeight="1">
      <x:c r="A17" s="22" t="str">
        <x:v>Gap area</x:v>
      </x:c>
      <x:c r="B17" s="23" t="str">
        <x:v>Missing information</x:v>
      </x:c>
      <x:c r="C17" s="23" t="str">
        <x:v>Status</x:v>
      </x:c>
      <x:c r="D17" s="24" t="str">
        <x:v>Impact</x:v>
      </x:c>
    </x:row>
    <x:row r="18">
      <x:c r="A18" s="95" t="str">
        <x:v>Commercial</x:v>
      </x:c>
      <x:c r="B18" s="96" t="str">
        <x:v>Price, cost-to-serve, gross margin, conversion, sales cycle, demand volume, payment terms, refund/complaint history</x:v>
      </x:c>
      <x:c r="C18" s="96" t="str">
        <x:v>Tidak tersedia</x:v>
      </x:c>
      <x:c r="D18" s="97" t="str">
        <x:v>Blocks quantitative profitability and capacity claims</x:v>
      </x:c>
    </x:row>
    <x:row r="19">
      <x:c r="A19" s="98" t="str">
        <x:v>Capacity</x:v>
      </x:c>
      <x:c r="B19" s="99" t="str">
        <x:v>Observed hours per case/stage, WIP, cycle time, handoffs, rework, owner touch time</x:v>
      </x:c>
      <x:c r="C19" s="99" t="str">
        <x:v>Tidak tersedia</x:v>
      </x:c>
      <x:c r="D19" s="100" t="str">
        <x:v>Blocks numeric client cap</x:v>
      </x:c>
    </x:row>
    <x:row r="20">
      <x:c r="A20" s="98" t="str">
        <x:v>Legal identity</x:v>
      </x:c>
      <x:c r="B20" s="99" t="str">
        <x:v>Registration number, full public address, confirmed public phone/email/domain</x:v>
      </x:c>
      <x:c r="C20" s="99" t="str">
        <x:v>Partial</x:v>
      </x:c>
      <x:c r="D20" s="100" t="str">
        <x:v>Launch blocker</x:v>
      </x:c>
    </x:row>
    <x:row r="21">
      <x:c r="A21" s="98" t="str">
        <x:v>Capability proof</x:v>
      </x:c>
      <x:c r="B21" s="99" t="str">
        <x:v>Real team, credentials, named reviewers, past cases, sectors, client consent, testimonials, logos, certifications</x:v>
      </x:c>
      <x:c r="C21" s="99" t="str">
        <x:v>Tidak tersedia</x:v>
      </x:c>
      <x:c r="D21" s="100" t="str">
        <x:v>Cannot publish proof or advanced services</x:v>
      </x:c>
    </x:row>
    <x:row r="22">
      <x:c r="A22" s="98" t="str">
        <x:v>Service design</x:v>
      </x:c>
      <x:c r="B22" s="99" t="str">
        <x:v>Deliverables, exclusions, dependencies, timelines, RACI, escalation, acceptance criteria</x:v>
      </x:c>
      <x:c r="C22" s="99" t="str">
        <x:v>Tidak tersedia</x:v>
      </x:c>
      <x:c r="D22" s="100" t="str">
        <x:v>Cannot price, SOP, or safely market offers</x:v>
      </x:c>
    </x:row>
    <x:row r="23">
      <x:c r="A23" s="98" t="str">
        <x:v>Partner system</x:v>
      </x:c>
      <x:c r="B23" s="99" t="str">
        <x:v>Partner list, licenses/credentials, geography, pricing, SLA, QA, backup, liability</x:v>
      </x:c>
      <x:c r="C23" s="99" t="str">
        <x:v>Tidak tersedia</x:v>
      </x:c>
      <x:c r="D23" s="100" t="str">
        <x:v>Blocks partner-based launch</x:v>
      </x:c>
    </x:row>
    <x:row r="24">
      <x:c r="A24" s="98" t="str">
        <x:v>Market validation</x:v>
      </x:c>
      <x:c r="B24" s="99" t="str">
        <x:v>ICP counts, willingness to pay, competitor pricing, channel performance, keyword volume</x:v>
      </x:c>
      <x:c r="C24" s="99" t="str">
        <x:v>Tidak tersedia</x:v>
      </x:c>
      <x:c r="D24" s="100" t="str">
        <x:v>Scores remain qualitative</x:v>
      </x:c>
    </x:row>
    <x:row r="25">
      <x:c r="A25" s="98" t="str">
        <x:v>Governance</x:v>
      </x:c>
      <x:c r="B25" s="99" t="str">
        <x:v>Content owner, competent legal/regulatory reviewer, update triggers and archive process</x:v>
      </x:c>
      <x:c r="C25" s="99" t="str">
        <x:v>Partial</x:v>
      </x:c>
      <x:c r="D25" s="100" t="str">
        <x:v>Blocks launch articles and broad SEO</x:v>
      </x:c>
    </x:row>
    <x:row r="26">
      <x:c r="A26" s="101" t="str">
        <x:v>Production</x:v>
      </x:c>
      <x:c r="B26" s="102" t="str">
        <x:v>Privacy/Terms, robots/schema decision, final 404/noindex, analytics/CRM decision</x:v>
      </x:c>
      <x:c r="C26" s="102" t="str">
        <x:v>Partial</x:v>
      </x:c>
      <x:c r="D26" s="103" t="str">
        <x:v>Launch readiness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46" hidden="0" customWidth="1"/>
    <x:col min="4" max="4" width="52" hidden="0" customWidth="1"/>
  </x:cols>
  <x:sheetData>
    <x:row r="1" ht="34" customHeight="1">
      <x:c r="A1" s="4" t="str">
        <x:v>Evidence-Gated Implementation Roadmap</x:v>
      </x:c>
      <x:c r="B1" s="4" t="str">
        <x:v>Evidence-Gated Implementation Roadmap</x:v>
      </x:c>
      <x:c r="C1" s="4" t="str">
        <x:v>Evidence-Gated Implementation Roadmap</x:v>
      </x:c>
      <x:c r="D1" s="4" t="str">
        <x:v>Evidence-Gated Implementation Roadmap</x:v>
      </x:c>
    </x:row>
    <x:row r="2" ht="28" customHeight="1">
      <x:c r="A2" s="7" t="str">
        <x:v>No invented calendar dates.</x:v>
      </x:c>
      <x:c r="B2" s="7" t="str">
        <x:v>No invented calendar dates.</x:v>
      </x:c>
      <x:c r="C2" s="7" t="str">
        <x:v>No invented calendar dates.</x:v>
      </x:c>
      <x:c r="D2" s="7" t="str">
        <x:v>No invented calendar dates.</x:v>
      </x:c>
    </x:row>
    <x:row r="3" ht="30" customHeight="1">
      <x:c r="A3" s="10" t="str">
        <x:v>Source code and existing project files remain unchanged.</x:v>
      </x:c>
      <x:c r="B3" s="10" t="str">
        <x:v>Source code and existing project files remain unchanged.</x:v>
      </x:c>
      <x:c r="C3" s="10" t="str">
        <x:v>Source code and existing project files remain unchanged.</x:v>
      </x:c>
      <x:c r="D3" s="10" t="str">
        <x:v>Source code and existing project files remain unchanged.</x:v>
      </x:c>
    </x:row>
    <x:row r="5" ht="34" customHeight="1">
      <x:c r="A5" s="22" t="str">
        <x:v>Gate</x:v>
      </x:c>
      <x:c r="B5" s="23" t="str">
        <x:v>Actions</x:v>
      </x:c>
      <x:c r="C5" s="23" t="str">
        <x:v>Output</x:v>
      </x:c>
      <x:c r="D5" s="24" t="str">
        <x:v>Exit criterion</x:v>
      </x:c>
    </x:row>
    <x:row r="6">
      <x:c r="A6" s="56" t="str">
        <x:v>Gate 0 — Evidence</x:v>
      </x:c>
      <x:c r="B6" s="57" t="str">
        <x:v>Confirm operator details; choose 3 offers; define deliverables/exclusions; appoint reviewer; remove dummy launch content</x:v>
      </x:c>
      <x:c r="C6" s="57" t="str">
        <x:v>Approved service one-pagers, legal facts, proof register, no-launch list</x:v>
      </x:c>
      <x:c r="D6" s="58" t="str">
        <x:v>No unresolved critical legal/dummy blocker</x:v>
      </x:c>
    </x:row>
    <x:row r="7">
      <x:c r="A7" s="59" t="str">
        <x:v>Gate 1 — Operable MVP</x:v>
      </x:c>
      <x:c r="B7" s="60" t="str">
        <x:v>Build intake, qualification, SOP, templates, WIP board, update cadence, retainer calendar, partner due diligence</x:v>
      </x:c>
      <x:c r="C7" s="60" t="str">
        <x:v>One end-to-end dry run per offer</x:v>
      </x:c>
      <x:c r="D7" s="61" t="str">
        <x:v>Owner touchpoints and handoffs measured</x:v>
      </x:c>
    </x:row>
    <x:row r="8">
      <x:c r="A8" s="59" t="str">
        <x:v>Gate 2 — Controlled Pilot</x:v>
      </x:c>
      <x:c r="B8" s="60" t="str">
        <x:v>Sell paid diagnostic; onboard small pilot; collect time/rework/client feedback; test one partner-led project</x:v>
      </x:c>
      <x:c r="C8" s="60" t="str">
        <x:v>Unit-economics and capacity dataset</x:v>
      </x:c>
      <x:c r="D8" s="61" t="str">
        <x:v>No critical QA miss; owner time within cap</x:v>
      </x:c>
    </x:row>
    <x:row r="9">
      <x:c r="A9" s="59" t="str">
        <x:v>Gate 3 — Website Launch</x:v>
      </x:c>
      <x:c r="B9" s="60" t="str">
        <x:v>Publish only validated pages; legal pages; real team/proof; reviewed bilingual content; production QA</x:v>
      </x:c>
      <x:c r="C9" s="60" t="str">
        <x:v>11-13 realistic pages</x:v>
      </x:c>
      <x:c r="D9" s="61" t="str">
        <x:v>No dummy/meta/schema leakage; CTA route works</x:v>
      </x:c>
    </x:row>
    <x:row r="10">
      <x:c r="A10" s="59" t="str">
        <x:v>Gate 4 — Controlled Growth</x:v>
      </x:c>
      <x:c r="B10" s="60" t="str">
        <x:v>Add one B vertical after pass criteria; expand content only around converted demand</x:v>
      </x:c>
      <x:c r="C10" s="60" t="str">
        <x:v>One new vertical at a time</x:v>
      </x:c>
      <x:c r="D10" s="61" t="str">
        <x:v>Pipeline, margin, partner score, content reviewer capacity pass</x:v>
      </x:c>
    </x:row>
    <x:row r="11">
      <x:c r="A11" s="62" t="str">
        <x:v>Gate 5 — Scale or Kill</x:v>
      </x:c>
      <x:c r="B11" s="63" t="str">
        <x:v>Quarterly keep/partner/pause/eliminate review; add staff only after repeatable utilization</x:v>
      </x:c>
      <x:c r="C11" s="63" t="str">
        <x:v>Portfolio decision log</x:v>
      </x:c>
      <x:c r="D11" s="64" t="str">
        <x:v>Service survives commercial, operational, and content-debt thresholds</x:v>
      </x:c>
    </x:row>
    <x:row r="14" ht="34" customHeight="1">
      <x:c r="A14" s="22" t="str">
        <x:v>Decision</x:v>
      </x:c>
      <x:c r="B14" s="23" t="str">
        <x:v>Choice</x:v>
      </x:c>
      <x:c r="C14" s="24" t="str">
        <x:v>Reason</x:v>
      </x:c>
    </x:row>
    <x:row r="15">
      <x:c r="A15" s="56" t="str">
        <x:v>Paling aman</x:v>
      </x:c>
      <x:c r="B15" s="57" t="str">
        <x:v>K01 — 2 Jam, Grade A Saja</x:v>
      </x:c>
      <x:c r="C15" s="58" t="str">
        <x:v>Scope kecil, risiko dapat dibatasi, dan tidak memerlukan broad sector execution</x:v>
      </x:c>
    </x:row>
    <x:row r="16">
      <x:c r="A16" s="59" t="str">
        <x:v>Paling menguntungkan secara potensial</x:v>
      </x:c>
      <x:c r="B16" s="60" t="str">
        <x:v>K14 — Industri dan Pabrik</x:v>
      </x:c>
      <x:c r="C16" s="61" t="str">
        <x:v>Nilai proyek potensial tinggi, tetapi belum layak tanpa partner/proof; profit belum dapat dihitung</x:v>
      </x:c>
    </x:row>
    <x:row r="17">
      <x:c r="A17" s="59" t="str">
        <x:v>Paling lean</x:v>
      </x:c>
      <x:c r="B17" s="60" t="str">
        <x:v>K15 — Compliance Retainer</x:v>
      </x:c>
      <x:c r="C17" s="61" t="str">
        <x:v>Recurring, calendar-based, SOP/automation tinggi</x:v>
      </x:c>
    </x:row>
    <x:row r="18">
      <x:c r="A18" s="59" t="str">
        <x:v>Paling mudah dikelola</x:v>
      </x:c>
      <x:c r="B18" s="60" t="str">
        <x:v>K03/K12 — Satu niche compliance/OSS alignment</x:v>
      </x:c>
      <x:c r="C18" s="61" t="str">
        <x:v>Sedikit workflow dan content cluster</x:v>
      </x:c>
    </x:row>
    <x:row r="19">
      <x:c r="A19" s="59" t="str">
        <x:v>Paling kuat untuk SEO/portofolio</x:v>
      </x:c>
      <x:c r="B19" s="60" t="str">
        <x:v>K14 — Industri/Pabrik + K15 Compliance</x:v>
      </x:c>
      <x:c r="C19" s="61" t="str">
        <x:v>Topical depth dan case visibility tinggi, tetapi maintenance lebih berat</x:v>
      </x:c>
    </x:row>
    <x:row r="20">
      <x:c r="A20" s="62" t="str">
        <x:v>Paling seimbang</x:v>
      </x:c>
      <x:c r="B20" s="63" t="str">
        <x:v>K13 — High-Ticket Boutique</x:v>
      </x:c>
      <x:c r="C20" s="64" t="str">
        <x:v>Tiga offer: readiness, regulatory care, selective project PM; partner layer untuk teknis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