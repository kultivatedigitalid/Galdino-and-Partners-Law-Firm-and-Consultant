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6dcdc45f1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e114611b3141e0"/>
    <x:sheet xmlns:r="http://schemas.openxmlformats.org/officeDocument/2006/relationships" name="Master Inventory" sheetId="2" r:id="R029bece743ea462b"/>
    <x:sheet xmlns:r="http://schemas.openxmlformats.org/officeDocument/2006/relationships" name="Availability Matrix" sheetId="3" r:id="Ra119b549b50448e9"/>
    <x:sheet xmlns:r="http://schemas.openxmlformats.org/officeDocument/2006/relationships" name="Source Notes" sheetId="4" r:id="R52dd1b3938e9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76" formatCode="_(* #,##0.00_);_(* \(#,##0.00\);_(* &quot;-&quot;??_);_(@_)"/>
    <x:numFmt numFmtId="177" formatCode="_-&quot;Rp&quot;* #,##0.00_-;\-&quot;Rp&quot;* #,##0.00_-;_-&quot;Rp&quot;* &quot;-&quot;??_-;_-@_-"/>
    <x:numFmt numFmtId="178" formatCode="_(* #,##0_);_(* \(#,##0\);_(* &quot;-&quot;_);_(@_)"/>
    <x:numFmt numFmtId="179" formatCode="_-&quot;Rp&quot;* #,##0_-;\-&quot;Rp&quot;* #,##0_-;_-&quot;Rp&quot;* &quot;-&quot;??_-;_-@_-"/>
    <x:numFmt numFmtId="200" formatCode="0.0%"/>
  </x:numFmts>
  <x:fonts count="38">
    <x:font>
      <x:sz val="11"/>
      <x:name val="Carlito"/>
    </x:font>
    <x:font>
      <x:b/>
      <x:sz val="16"/>
      <x:color rgb="FFFFFFFF"/>
      <x:name val="Carlito"/>
    </x:font>
    <x:font>
      <x:sz val="10"/>
      <x:color rgb="FF6B7280"/>
      <x:name val="Carlito"/>
    </x:font>
    <x:font>
      <x:b/>
      <x:sz val="9"/>
      <x:color rgb="FFFFFFFF"/>
      <x:name val="Carlito"/>
    </x:font>
    <x:font>
      <x:sz val="9"/>
      <x:color rgb="FF0B0B0C"/>
      <x:name val="Carlito"/>
    </x:font>
    <x:font>
      <x:b/>
      <x:sz val="11"/>
      <x:color theme="0"/>
      <x:name val="Carlito"/>
    </x:font>
    <x:font>
      <x:b/>
      <x:sz val="14"/>
      <x:color theme="0"/>
      <x:name val="Carlito"/>
    </x:font>
    <x:font>
      <x:sz val="11"/>
      <x:color rgb="FF0B0B0C"/>
      <x:name val="Carlito"/>
    </x:font>
    <x:font>
      <x:b/>
      <x:sz val="14"/>
      <x:color rgb="FFC4142A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8"/>
      <x:color rgb="FFFFFFFF"/>
      <x:name val="Aptos Display"/>
    </x:font>
    <x:font>
      <x:i/>
      <x:sz val="9"/>
      <x:color rgb="FF6B7280"/>
      <x:name val="Aptos"/>
    </x:font>
    <x:font>
      <x:b/>
      <x:sz val="9"/>
      <x:color rgb="FFFFFFFF"/>
      <x:name val="Aptos"/>
    </x:font>
    <x:font>
      <x:sz val="8"/>
      <x:color rgb="FF0F0F0F"/>
      <x:name val="Aptos"/>
    </x:font>
    <x:font>
      <x:b/>
      <x:sz val="8"/>
      <x:color rgb="FF0F0F0F"/>
      <x:name val="Aptos"/>
    </x:font>
    <x:font>
      <x:sz val="9"/>
      <x:color rgb="FF0F0F0F"/>
      <x:name val="Aptos"/>
    </x:font>
    <x:font>
      <x:b/>
      <x:sz val="19"/>
      <x:color rgb="FFFFFFFF"/>
      <x:name val="Aptos Display"/>
    </x:font>
    <x:font>
      <x:b/>
      <x:sz val="9"/>
      <x:color rgb="FF0F0F0F"/>
      <x:name val="Aptos"/>
    </x:font>
    <x:font>
      <x:b/>
      <x:sz val="14"/>
      <x:color rgb="FF720D1C"/>
      <x:name val="Aptos Display"/>
    </x:font>
  </x:fonts>
  <x:fills count="43">
    <x:fill>
      <x:patternFill patternType="none"/>
    </x:fill>
    <x:fill>
      <x:patternFill patternType="gray125"/>
    </x:fill>
    <x:fill>
      <x:patternFill patternType="solid">
        <x:fgColor rgb="FF0B0B0C"/>
      </x:patternFill>
    </x:fill>
    <x:fill>
      <x:patternFill patternType="solid">
        <x:fgColor rgb="FFF7F7F5"/>
      </x:patternFill>
    </x:fill>
    <x:fill>
      <x:patternFill patternType="solid">
        <x:fgColor rgb="FF720D1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B0B0C"/>
      </x:patternFill>
    </x:fill>
    <x:fill>
      <x:patternFill patternType="solid">
        <x:fgColor rgb="FFF4F3F1"/>
      </x:patternFill>
    </x:fill>
    <x:fill>
      <x:patternFill patternType="solid">
        <x:fgColor rgb="FF720D1C"/>
      </x:patternFill>
    </x:fill>
    <x:fill>
      <x:patternFill patternType="solid">
        <x:fgColor rgb="FFE7F5EC"/>
      </x:patternFill>
    </x:fill>
    <x:fill>
      <x:patternFill patternType="solid">
        <x:fgColor rgb="FFFFF4CC"/>
      </x:patternFill>
    </x:fill>
    <x:fill>
      <x:patternFill patternType="solid">
        <x:fgColor rgb="FFF9E9EC"/>
      </x:patternFill>
    </x:fill>
    <x:fill>
      <x:patternFill patternType="solid">
        <x:fgColor rgb="FFE8F1FA"/>
      </x:patternFill>
    </x:fill>
  </x:fills>
  <x:borders count="12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20D1C"/>
      </x:left>
      <x:right style="thin">
        <x:color rgb="FF720D1C"/>
      </x:right>
      <x:top style="thin">
        <x:color rgb="FF720D1C"/>
      </x:top>
      <x:bottom style="thin">
        <x:color rgb="FF720D1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49">
    <x:xf numFmtId="0" fontId="0" fillId="0" borderId="0"/>
    <x:xf numFmtId="176" fontId="9" fillId="0" borderId="0" applyFont="0" applyFill="0" applyBorder="0" applyAlignment="0" applyProtection="0">
      <x:alignment vertical="center"/>
    </x:xf>
    <x:xf numFmtId="177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178" fontId="9" fillId="0" borderId="0" applyFont="0" applyFill="0" applyBorder="0" applyAlignment="0" applyProtection="0">
      <x:alignment vertical="center"/>
    </x:xf>
    <x:xf numFmtId="179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5" borderId="1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" applyNumberFormat="0" applyFill="0" applyAlignment="0" applyProtection="0">
      <x:alignment vertical="center"/>
    </x:xf>
    <x:xf numFmtId="0" fontId="16" fillId="0" borderId="2" applyNumberFormat="0" applyFill="0" applyAlignment="0" applyProtection="0">
      <x:alignment vertical="center"/>
    </x:xf>
    <x:xf numFmtId="0" fontId="17" fillId="0" borderId="3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6" borderId="4" applyNumberFormat="0" applyAlignment="0" applyProtection="0">
      <x:alignment vertical="center"/>
    </x:xf>
    <x:xf numFmtId="0" fontId="19" fillId="7" borderId="5" applyNumberFormat="0" applyAlignment="0" applyProtection="0">
      <x:alignment vertical="center"/>
    </x:xf>
    <x:xf numFmtId="0" fontId="20" fillId="7" borderId="4" applyNumberFormat="0" applyAlignment="0" applyProtection="0">
      <x:alignment vertical="center"/>
    </x:xf>
    <x:xf numFmtId="0" fontId="21" fillId="8" borderId="6" applyNumberFormat="0" applyAlignment="0" applyProtection="0">
      <x:alignment vertical="center"/>
    </x:xf>
    <x:xf numFmtId="0" fontId="22" fillId="0" borderId="7" applyNumberFormat="0" applyFill="0" applyAlignment="0" applyProtection="0">
      <x:alignment vertical="center"/>
    </x:xf>
    <x:xf numFmtId="0" fontId="23" fillId="0" borderId="8" applyNumberFormat="0" applyFill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6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</x:cellStyleXfs>
  <x:cellXfs count="110">
    <x:xf numFmtId="0" fontId="0" fillId="0" borderId="0" xfId="0"/>
    <x:xf numFmtId="0" fontId="1" fillId="2" borderId="0" xfId="0" applyNumberFormat="1" applyFont="1" applyFill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Fill="1"/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36" borderId="0" xfId="0" applyNumberFormat="1" applyFont="1" applyFill="1" applyBorder="1" applyAlignment="1">
      <x:alignment horizontal="center" vertical="center"/>
    </x:xf>
    <x:xf numFmtId="0" fontId="29" fillId="36" borderId="0" xfId="0" applyNumberFormat="1" applyFont="1" applyFill="1" applyBorder="1" applyAlignment="1">
      <x:alignment horizontal="center" vertical="center"/>
    </x:xf>
    <x:xf numFmtId="0" fontId="2" fillId="37" borderId="0" xfId="0" applyNumberFormat="1" applyFont="1" applyFill="1" applyBorder="1" applyAlignment="1">
      <x:alignment horizontal="center" vertical="center" wrapText="1"/>
    </x:xf>
    <x:xf numFmtId="0" fontId="30" fillId="37" borderId="0" xfId="0" applyNumberFormat="1" applyFont="1" applyFill="1" applyBorder="1" applyAlignment="1">
      <x:alignment horizontal="center" vertical="center" wrapText="1"/>
    </x:xf>
    <x:xf numFmtId="0" fontId="3" fillId="38" borderId="0" xfId="0" applyNumberFormat="1" applyFont="1" applyFill="1" applyBorder="1" applyAlignment="1">
      <x:alignment horizontal="center" vertical="center" wrapText="1"/>
    </x:xf>
    <x:xf numFmtId="0" fontId="31" fillId="38" borderId="0" xfId="0" applyNumberFormat="1" applyFont="1" applyFill="1" applyBorder="1" applyAlignment="1">
      <x:alignment horizontal="center" vertical="center" wrapText="1"/>
    </x:xf>
    <x:xf numFmtId="0" fontId="31" fillId="38" borderId="9" xfId="0" applyNumberFormat="1" applyFont="1" applyFill="1" applyBorder="1" applyAlignment="1">
      <x:alignment horizontal="center" vertical="center" wrapText="1"/>
    </x:xf>
    <x:xf numFmtId="0" fontId="32" fillId="0" borderId="0" xfId="0" applyNumberFormat="1" applyFont="1" applyFill="1" applyBorder="1" applyAlignment="1">
      <x:alignment vertical="top" wrapText="1"/>
    </x:xf>
    <x:xf numFmtId="0" fontId="32" fillId="0" borderId="0" xfId="0" applyNumberFormat="1" applyFont="1" applyFill="1" applyBorder="1"/>
    <x:xf numFmtId="0" fontId="32" fillId="0" borderId="10" xfId="0" applyNumberFormat="1" applyFont="1" applyFill="1" applyBorder="1" applyAlignment="1">
      <x:alignment vertical="top" wrapText="1"/>
    </x:xf>
    <x:xf numFmtId="0" fontId="32" fillId="0" borderId="11" xfId="0" applyNumberFormat="1" applyFont="1" applyFill="1" applyBorder="1" applyAlignment="1">
      <x:alignment vertical="top" wrapText="1"/>
    </x:xf>
    <x:xf numFmtId="0" fontId="32" fillId="0" borderId="11" xfId="0" applyNumberFormat="1" applyFont="1" applyFill="1" applyBorder="1"/>
    <x:xf numFmtId="0" fontId="32" fillId="0" borderId="11" xfId="0" applyNumberFormat="1" applyFont="1" applyFill="1" applyBorder="1" applyAlignment="1">
      <x:alignment wrapText="1"/>
    </x:xf>
    <x:xf numFmtId="0" fontId="32" fillId="0" borderId="10" xfId="0" applyNumberFormat="1" applyFont="1" applyFill="1" applyBorder="1" applyAlignment="1">
      <x:alignment vertical="center" wrapText="1"/>
    </x:xf>
    <x:xf numFmtId="0" fontId="32" fillId="0" borderId="11" xfId="0" applyNumberFormat="1" applyFont="1" applyFill="1" applyBorder="1" applyAlignment="1">
      <x:alignment vertical="center" wrapText="1"/>
    </x:xf>
    <x:xf numFmtId="0" fontId="32" fillId="39" borderId="10" xfId="0" applyNumberFormat="1" applyFont="1" applyFill="1" applyBorder="1" applyAlignment="1">
      <x:alignment vertical="center" wrapText="1"/>
    </x:xf>
    <x:xf numFmtId="0" fontId="33" fillId="39" borderId="10" xfId="0" applyNumberFormat="1" applyFont="1" applyFill="1" applyBorder="1" applyAlignment="1">
      <x:alignment vertical="center" wrapText="1"/>
    </x:xf>
    <x:xf numFmtId="0" fontId="32" fillId="39" borderId="11" xfId="0" applyNumberFormat="1" applyFont="1" applyFill="1" applyBorder="1" applyAlignment="1">
      <x:alignment vertical="center" wrapText="1"/>
    </x:xf>
    <x:xf numFmtId="0" fontId="33" fillId="39" borderId="11" xfId="0" applyNumberFormat="1" applyFont="1" applyFill="1" applyBorder="1" applyAlignment="1">
      <x:alignment vertical="center" wrapText="1"/>
    </x:xf>
    <x:xf numFmtId="0" fontId="32" fillId="40" borderId="11" xfId="0" applyNumberFormat="1" applyFont="1" applyFill="1" applyBorder="1" applyAlignment="1">
      <x:alignment vertical="center" wrapText="1"/>
    </x:xf>
    <x:xf numFmtId="0" fontId="33" fillId="40" borderId="11" xfId="0" applyNumberFormat="1" applyFont="1" applyFill="1" applyBorder="1" applyAlignment="1">
      <x:alignment vertical="center" wrapText="1"/>
    </x:xf>
    <x:xf numFmtId="0" fontId="32" fillId="41" borderId="11" xfId="0" applyNumberFormat="1" applyFont="1" applyFill="1" applyBorder="1" applyAlignment="1">
      <x:alignment vertical="center" wrapText="1"/>
    </x:xf>
    <x:xf numFmtId="0" fontId="33" fillId="41" borderId="11" xfId="0" applyNumberFormat="1" applyFont="1" applyFill="1" applyBorder="1" applyAlignment="1">
      <x:alignment vertical="center" wrapText="1"/>
    </x:xf>
    <x:xf numFmtId="0" fontId="32" fillId="42" borderId="11" xfId="0" applyNumberFormat="1" applyFont="1" applyFill="1" applyBorder="1" applyAlignment="1">
      <x:alignment vertical="center" wrapText="1"/>
    </x:xf>
    <x:xf numFmtId="0" fontId="33" fillId="42" borderId="11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horizontal="left" vertical="center"/>
    </x:xf>
    <x:xf numFmtId="0" fontId="29" fillId="36" borderId="0" xfId="0" applyNumberFormat="1" applyFont="1" applyFill="1" applyBorder="1" applyAlignment="1">
      <x:alignment horizontal="left" vertical="center"/>
    </x:xf>
    <x:xf numFmtId="0" fontId="2" fillId="37" borderId="0" xfId="0" applyNumberFormat="1" applyFont="1" applyFill="1" applyBorder="1" applyAlignment="1">
      <x:alignment horizontal="center" wrapText="1"/>
    </x:xf>
    <x:xf numFmtId="0" fontId="2" fillId="37" borderId="0" xfId="0" applyNumberFormat="1" applyFont="1" applyFill="1" applyBorder="1" applyAlignment="1">
      <x:alignment wrapText="1"/>
    </x:xf>
    <x:xf numFmtId="0" fontId="30" fillId="37" borderId="0" xfId="0" applyNumberFormat="1" applyFont="1" applyFill="1" applyBorder="1" applyAlignment="1">
      <x:alignment horizontal="center" wrapText="1"/>
    </x:xf>
    <x:xf numFmtId="0" fontId="30" fillId="37" borderId="0" xfId="0" applyNumberFormat="1" applyFont="1" applyFill="1" applyBorder="1" applyAlignment="1">
      <x:alignment wrapText="1"/>
    </x:xf>
    <x:xf numFmtId="0" fontId="30" fillId="37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31" fillId="38" borderId="0" xfId="0" applyNumberFormat="1" applyFont="1" applyFill="1" applyBorder="1"/>
    <x:xf numFmtId="0" fontId="31" fillId="38" borderId="9" xfId="0" applyNumberFormat="1" applyFont="1" applyFill="1" applyBorder="1"/>
    <x:xf numFmtId="0" fontId="31" fillId="38" borderId="9" xfId="0" applyNumberFormat="1" applyFont="1" applyFill="1" applyBorder="1" applyAlignment="1">
      <x:alignment wrapText="1"/>
    </x:xf>
    <x:xf numFmtId="0" fontId="31" fillId="38" borderId="9" xfId="0" applyNumberFormat="1" applyFont="1" applyFill="1" applyBorder="1" applyAlignment="1">
      <x:alignment vertical="center" wrapText="1"/>
    </x:xf>
    <x:xf numFmtId="0" fontId="34" fillId="0" borderId="0" xfId="0" applyNumberFormat="1" applyFont="1" applyFill="1" applyBorder="1" applyAlignment="1">
      <x:alignment horizontal="left" vertical="center" wrapText="1"/>
    </x:xf>
    <x:xf numFmtId="0" fontId="34" fillId="0" borderId="0" xfId="0" applyNumberFormat="1" applyFont="1" applyFill="1" applyBorder="1" applyAlignment="1">
      <x:alignment horizontal="center" vertical="center" wrapText="1"/>
    </x:xf>
    <x:xf numFmtId="0" fontId="34" fillId="0" borderId="0" xfId="0" applyNumberFormat="1" applyFont="1" applyFill="1" applyBorder="1"/>
    <x:xf numFmtId="0" fontId="34" fillId="0" borderId="10" xfId="0" applyNumberFormat="1" applyFont="1" applyFill="1" applyBorder="1" applyAlignment="1">
      <x:alignment horizontal="left" vertical="center" wrapText="1"/>
    </x:xf>
    <x:xf numFmtId="0" fontId="34" fillId="0" borderId="10" xfId="0" applyNumberFormat="1" applyFont="1" applyFill="1" applyBorder="1" applyAlignment="1">
      <x:alignment horizontal="center" vertical="center" wrapText="1"/>
    </x:xf>
    <x:xf numFmtId="0" fontId="34" fillId="0" borderId="10" xfId="0" applyNumberFormat="1" applyFont="1" applyFill="1" applyBorder="1"/>
    <x:xf numFmtId="0" fontId="34" fillId="0" borderId="11" xfId="0" applyNumberFormat="1" applyFont="1" applyFill="1" applyBorder="1" applyAlignment="1">
      <x:alignment horizontal="left" vertical="center" wrapText="1"/>
    </x:xf>
    <x:xf numFmtId="0" fontId="34" fillId="0" borderId="11" xfId="0" applyNumberFormat="1" applyFont="1" applyFill="1" applyBorder="1" applyAlignment="1">
      <x:alignment horizontal="center" vertical="center" wrapText="1"/>
    </x:xf>
    <x:xf numFmtId="0" fontId="34" fillId="0" borderId="11" xfId="0" applyNumberFormat="1" applyFont="1" applyFill="1" applyBorder="1"/>
    <x:xf numFmtId="0" fontId="34" fillId="0" borderId="10" xfId="0" applyNumberFormat="1" applyFont="1" applyFill="1" applyBorder="1" applyAlignment="1">
      <x:alignment wrapText="1"/>
    </x:xf>
    <x:xf numFmtId="0" fontId="34" fillId="0" borderId="11" xfId="0" applyNumberFormat="1" applyFont="1" applyFill="1" applyBorder="1" applyAlignment="1">
      <x:alignment wrapText="1"/>
    </x:xf>
    <x:xf numFmtId="0" fontId="34" fillId="0" borderId="10" xfId="0" applyNumberFormat="1" applyFont="1" applyFill="1" applyBorder="1" applyAlignment="1">
      <x:alignment vertical="center" wrapText="1"/>
    </x:xf>
    <x:xf numFmtId="0" fontId="34" fillId="0" borderId="11" xfId="0" applyNumberFormat="1" applyFont="1" applyFill="1" applyBorder="1" applyAlignment="1">
      <x:alignment vertical="center" wrapText="1"/>
    </x:xf>
    <x:xf numFmtId="0" fontId="34" fillId="39" borderId="10" xfId="0" applyNumberFormat="1" applyFont="1" applyFill="1" applyBorder="1" applyAlignment="1">
      <x:alignment horizontal="left" vertical="center" wrapText="1"/>
    </x:xf>
    <x:xf numFmtId="0" fontId="33" fillId="39" borderId="10" xfId="0" applyNumberFormat="1" applyFont="1" applyFill="1" applyBorder="1" applyAlignment="1">
      <x:alignment horizontal="left" vertical="center" wrapText="1"/>
    </x:xf>
    <x:xf numFmtId="0" fontId="34" fillId="39" borderId="11" xfId="0" applyNumberFormat="1" applyFont="1" applyFill="1" applyBorder="1" applyAlignment="1">
      <x:alignment horizontal="left" vertical="center" wrapText="1"/>
    </x:xf>
    <x:xf numFmtId="0" fontId="33" fillId="39" borderId="11" xfId="0" applyNumberFormat="1" applyFont="1" applyFill="1" applyBorder="1" applyAlignment="1">
      <x:alignment horizontal="left" vertical="center" wrapText="1"/>
    </x:xf>
    <x:xf numFmtId="0" fontId="34" fillId="42" borderId="11" xfId="0" applyNumberFormat="1" applyFont="1" applyFill="1" applyBorder="1" applyAlignment="1">
      <x:alignment horizontal="left" vertical="center" wrapText="1"/>
    </x:xf>
    <x:xf numFmtId="0" fontId="33" fillId="42" borderId="11" xfId="0" applyNumberFormat="1" applyFont="1" applyFill="1" applyBorder="1" applyAlignment="1">
      <x:alignment horizontal="left" vertical="center" wrapText="1"/>
    </x:xf>
    <x:xf numFmtId="0" fontId="34" fillId="40" borderId="11" xfId="0" applyNumberFormat="1" applyFont="1" applyFill="1" applyBorder="1" applyAlignment="1">
      <x:alignment horizontal="left" vertical="center" wrapText="1"/>
    </x:xf>
    <x:xf numFmtId="0" fontId="33" fillId="40" borderId="11" xfId="0" applyNumberFormat="1" applyFont="1" applyFill="1" applyBorder="1" applyAlignment="1">
      <x:alignment horizontal="left" vertical="center" wrapText="1"/>
    </x:xf>
    <x:xf numFmtId="0" fontId="34" fillId="41" borderId="11" xfId="0" applyNumberFormat="1" applyFont="1" applyFill="1" applyBorder="1" applyAlignment="1">
      <x:alignment horizontal="left" vertical="center" wrapText="1"/>
    </x:xf>
    <x:xf numFmtId="0" fontId="33" fillId="41" borderId="11" xfId="0" applyNumberFormat="1" applyFont="1" applyFill="1" applyBorder="1" applyAlignment="1">
      <x:alignment horizontal="left" vertical="center" wrapText="1"/>
    </x:xf>
    <x:xf numFmtId="0" fontId="34" fillId="40" borderId="11" xfId="0" applyNumberFormat="1" applyFont="1" applyFill="1" applyBorder="1" applyAlignment="1">
      <x:alignment vertical="center" wrapText="1"/>
    </x:xf>
    <x:xf numFmtId="0" fontId="34" fillId="41" borderId="11" xfId="0" applyNumberFormat="1" applyFont="1" applyFill="1" applyBorder="1" applyAlignment="1">
      <x:alignment vertical="center" wrapText="1"/>
    </x:xf>
    <x:xf numFmtId="0" fontId="34" fillId="39" borderId="11" xfId="0" applyNumberFormat="1" applyFont="1" applyFill="1" applyBorder="1" applyAlignment="1">
      <x:alignment vertical="center" wrapText="1"/>
    </x:xf>
    <x:xf numFmtId="200" fontId="34" fillId="0" borderId="10" xfId="0" applyNumberFormat="1" applyFont="1" applyFill="1" applyBorder="1" applyAlignment="1">
      <x:alignment horizontal="center" vertical="center" wrapText="1"/>
    </x:xf>
    <x:xf numFmtId="200" fontId="34" fillId="0" borderId="11" xfId="0" applyNumberFormat="1" applyFont="1" applyFill="1" applyBorder="1" applyAlignment="1">
      <x:alignment horizontal="center" vertical="center" wrapText="1"/>
    </x:xf>
    <x:xf numFmtId="200" fontId="34" fillId="0" borderId="11" xfId="0" applyNumberFormat="1" applyFont="1" applyFill="1" applyBorder="1" applyAlignment="1">
      <x:alignment vertical="center" wrapText="1"/>
    </x:xf>
    <x:xf numFmtId="0" fontId="35" fillId="36" borderId="0" xfId="0" applyNumberFormat="1" applyFont="1" applyFill="1" applyBorder="1" applyAlignment="1">
      <x:alignment horizontal="center" vertical="center"/>
    </x:xf>
    <x:xf numFmtId="0" fontId="35" fillId="36" borderId="0" xfId="0" applyNumberFormat="1" applyFont="1" applyFill="1" applyBorder="1" applyAlignment="1">
      <x:alignment horizontal="left" vertical="center"/>
    </x:xf>
    <x:xf numFmtId="0" fontId="5" fillId="38" borderId="0" xfId="0" applyNumberFormat="1" applyFont="1" applyFill="1" applyBorder="1" applyAlignment="1">
      <x:alignment horizontal="center" vertical="center" wrapText="1"/>
    </x:xf>
    <x:xf numFmtId="0" fontId="6" fillId="38" borderId="0" xfId="0" applyNumberFormat="1" applyFont="1" applyFill="1" applyBorder="1" applyAlignment="1">
      <x:alignment horizontal="center" vertical="center" wrapText="1"/>
    </x:xf>
    <x:xf numFmtId="0" fontId="34" fillId="0" borderId="0" xfId="0" applyNumberFormat="1" applyFont="1" applyFill="1" applyBorder="1" applyAlignment="1">
      <x:alignment vertical="top" wrapText="1"/>
    </x:xf>
    <x:xf numFmtId="0" fontId="36" fillId="0" borderId="0" xfId="0" applyNumberFormat="1" applyFont="1" applyFill="1" applyBorder="1" applyAlignment="1">
      <x:alignment horizontal="center" vertical="top" wrapText="1"/>
    </x:xf>
    <x:xf numFmtId="0" fontId="34" fillId="0" borderId="10" xfId="0" applyNumberFormat="1" applyFont="1" applyFill="1" applyBorder="1" applyAlignment="1">
      <x:alignment vertical="top" wrapText="1"/>
    </x:xf>
    <x:xf numFmtId="0" fontId="36" fillId="0" borderId="10" xfId="0" applyNumberFormat="1" applyFont="1" applyFill="1" applyBorder="1" applyAlignment="1">
      <x:alignment horizontal="center" vertical="top" wrapText="1"/>
    </x:xf>
    <x:xf numFmtId="0" fontId="34" fillId="0" borderId="11" xfId="0" applyNumberFormat="1" applyFont="1" applyFill="1" applyBorder="1" applyAlignment="1">
      <x:alignment vertical="top" wrapText="1"/>
    </x:xf>
    <x:xf numFmtId="0" fontId="36" fillId="0" borderId="11" xfId="0" applyNumberFormat="1" applyFont="1" applyFill="1" applyBorder="1" applyAlignment="1">
      <x:alignment horizontal="center" vertical="top" wrapText="1"/>
    </x:xf>
    <x:xf numFmtId="0" fontId="36" fillId="0" borderId="10" xfId="0" applyNumberFormat="1" applyFont="1" applyFill="1" applyBorder="1" applyAlignment="1">
      <x:alignment horizontal="center" vertical="center" wrapText="1"/>
    </x:xf>
    <x:xf numFmtId="0" fontId="36" fillId="0" borderId="11" xfId="0" applyNumberFormat="1" applyFont="1" applyFill="1" applyBorder="1" applyAlignment="1">
      <x:alignment horizontal="center" vertical="center" wrapText="1"/>
    </x:xf>
    <x:xf numFmtId="0" fontId="36" fillId="39" borderId="10" xfId="0" applyNumberFormat="1" applyFont="1" applyFill="1" applyBorder="1" applyAlignment="1">
      <x:alignment horizontal="center" vertical="center" wrapText="1"/>
    </x:xf>
    <x:xf numFmtId="0" fontId="36" fillId="39" borderId="11" xfId="0" applyNumberFormat="1" applyFont="1" applyFill="1" applyBorder="1" applyAlignment="1">
      <x:alignment horizontal="center" vertical="center" wrapText="1"/>
    </x:xf>
    <x:xf numFmtId="0" fontId="37" fillId="39" borderId="10" xfId="0" applyNumberFormat="1" applyFont="1" applyFill="1" applyBorder="1" applyAlignment="1">
      <x:alignment horizontal="center" vertical="center" wrapText="1"/>
    </x:xf>
    <x:xf numFmtId="0" fontId="37" fillId="39" borderId="11" xfId="0" applyNumberFormat="1" applyFont="1" applyFill="1" applyBorder="1" applyAlignment="1">
      <x:alignment horizontal="center" vertical="center" wrapText="1"/>
    </x:xf>
    <x:xf numFmtId="0" fontId="7" fillId="40" borderId="0" xfId="0" applyNumberFormat="1" applyFont="1" applyFill="1" applyBorder="1"/>
    <x:xf numFmtId="0" fontId="8" fillId="40" borderId="0" xfId="0" applyNumberFormat="1" applyFont="1" applyFill="1" applyBorder="1"/>
    <x:xf numFmtId="0" fontId="0" fillId="40" borderId="0" xfId="0" applyNumberFormat="1" applyFont="1" applyFill="1" applyBorder="1"/>
    <x:xf numFmtId="0" fontId="34" fillId="40" borderId="0" xfId="0" applyNumberFormat="1" applyFont="1" applyFill="1" applyBorder="1"/>
    <x:xf numFmtId="0" fontId="36" fillId="40" borderId="0" xfId="0" applyNumberFormat="1" applyFont="1" applyFill="1" applyBorder="1"/>
    <x:xf numFmtId="0" fontId="34" fillId="40" borderId="0" xfId="0" applyNumberFormat="1" applyFont="1" applyFill="1" applyBorder="1" applyAlignment="1">
      <x:alignment wrapText="1"/>
    </x:xf>
    <x:xf numFmtId="0" fontId="36" fillId="40" borderId="0" xfId="0" applyNumberFormat="1" applyFont="1" applyFill="1" applyBorder="1" applyAlignment="1">
      <x:alignment wrapText="1"/>
    </x:xf>
    <x:xf numFmtId="0" fontId="34" fillId="40" borderId="0" xfId="0" applyNumberFormat="1" applyFont="1" applyFill="1" applyBorder="1" applyAlignment="1">
      <x:alignment vertical="center" wrapText="1"/>
    </x:xf>
    <x:xf numFmtId="0" fontId="36" fillId="40" borderId="0" xfId="0" applyNumberFormat="1" applyFont="1" applyFill="1" applyBorder="1" applyAlignment="1">
      <x:alignment vertical="center" wrapText="1"/>
    </x:xf>
    <x:xf numFmtId="0" fontId="34" fillId="38" borderId="0" xfId="0" applyNumberFormat="1" applyFont="1" applyFill="1" applyBorder="1" applyAlignment="1">
      <x:alignment vertical="center" wrapText="1"/>
    </x:xf>
    <x:xf numFmtId="0" fontId="31" fillId="38" borderId="0" xfId="0" applyNumberFormat="1" applyFont="1" applyFill="1" applyBorder="1" applyAlignment="1">
      <x:alignment vertic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21">
    <x:dxf/>
    <x:dxf/>
    <x:dxf/>
    <x:dxf/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0bf95d9bc45d7" /><Relationship Type="http://schemas.openxmlformats.org/officeDocument/2006/relationships/theme" Target="/xl/theme/theme1.xml" Id="R42266c7a0a694e20" /><Relationship Type="http://schemas.openxmlformats.org/officeDocument/2006/relationships/sharedStrings" Target="/xl/sharedStrings.xml" Id="R12b30453b83e4035" /><Relationship Type="http://schemas.openxmlformats.org/officeDocument/2006/relationships/worksheet" Target="/xl/worksheets/sheet1.xml" Id="R37e114611b3141e0" /><Relationship Type="http://schemas.openxmlformats.org/officeDocument/2006/relationships/worksheet" Target="/xl/worksheets/sheet2.xml" Id="R029bece743ea462b" /><Relationship Type="http://schemas.openxmlformats.org/officeDocument/2006/relationships/worksheet" Target="/xl/worksheets/sheet3.xml" Id="Ra119b549b50448e9" /><Relationship Type="http://schemas.openxmlformats.org/officeDocument/2006/relationships/worksheet" Target="/xl/worksheets/sheet4.xml" Id="R52dd1b3938e947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3ed152ebe4422a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75000"/>
                    <a:lumOff val="25000"/>
                  </a:schemeClr>
                </a:solidFill>
                <a:latin typeface="Microsoft YaHei"/>
                <a:ea typeface="Microsoft YaHei"/>
                <a:cs typeface="Microsoft YaHei"/>
              </a:rPr>
              <a:t>Informasi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75000"/>
                  <a:lumOff val="25000"/>
                </a:schemeClr>
              </a:solidFill>
              <a:latin typeface="Microsoft YaHei"/>
              <a:ea typeface="Microsoft YaHei"/>
              <a:cs typeface="Microsoft YaHei"/>
            </a:defRPr>
          </a:pPr>
        </a:p>
      </c:txPr>
    </c:title>
    <c:autoTitleDeleted val="0"/>
    <c:plotArea>
      <c:pieChart>
        <c:ser>
          <c:idx val="0"/>
          <c:order val="0"/>
          <c:explosion val="0"/>
          <c:dPt>
            <c:idx val="0"/>
            <c:spPr>
              <a:solidFill xmlns:a="http://schemas.openxmlformats.org/drawingml/2006/main">
                <a:schemeClr val="accent1"/>
              </a:solidFill>
              <a:ln xmlns:a="http://schemas.openxmlformats.org/drawingml/2006/main">
                <a:solidFill>
                  <a:schemeClr val="bg1"/>
                </a:solidFill>
              </a:ln>
            </c:spPr>
          </c:dPt>
          <c:dPt>
            <c:idx val="1"/>
            <c:spPr>
              <a:solidFill xmlns:a="http://schemas.openxmlformats.org/drawingml/2006/main">
                <a:schemeClr val="accent2"/>
              </a:solidFill>
              <a:ln xmlns:a="http://schemas.openxmlformats.org/drawingml/2006/main">
                <a:solidFill>
                  <a:schemeClr val="bg1"/>
                </a:solidFill>
              </a:ln>
            </c:spPr>
          </c:dPt>
          <c:dPt>
            <c:idx val="2"/>
            <c:spPr>
              <a:solidFill xmlns:a="http://schemas.openxmlformats.org/drawingml/2006/main">
                <a:schemeClr val="accent3"/>
              </a:solidFill>
              <a:ln xmlns:a="http://schemas.openxmlformats.org/drawingml/2006/main">
                <a:solidFill>
                  <a:schemeClr val="bg1"/>
                </a:solidFill>
              </a:ln>
            </c:spPr>
          </c:dPt>
          <c:dPt>
            <c:idx val="3"/>
            <c:spPr>
              <a:solidFill xmlns:a="http://schemas.openxmlformats.org/drawingml/2006/main">
                <a:schemeClr val="accent4"/>
              </a:solidFill>
              <a:ln xmlns:a="http://schemas.openxmlformats.org/drawingml/2006/main">
                <a:solidFill>
                  <a:schemeClr val="bg1"/>
                </a:solidFill>
              </a:ln>
            </c:spPr>
          </c:dPt>
          <c:dPt>
            <c:idx val="4"/>
            <c:spPr>
              <a:solidFill xmlns:a="http://schemas.openxmlformats.org/drawingml/2006/main">
                <a:schemeClr val="accent5"/>
              </a:solidFill>
              <a:ln xmlns:a="http://schemas.openxmlformats.org/drawingml/2006/main">
                <a:solidFill>
                  <a:schemeClr val="bg1"/>
                </a:solidFill>
              </a:ln>
            </c:spPr>
          </c:dPt>
          <c:dLbls>
            <c:numFmt formatCode="General" sourceLinked="1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/>
                    <a:ea typeface="Microsoft YaHei"/>
                    <a:cs typeface="Microsoft YaHei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</c:dLbls>
          <c:cat>
            <c:strRef>
              <c:f>'Availability Matrix'!$A$5:$A$9</c:f>
              <c:strCache>
                <c:ptCount val="5"/>
                <c:pt idx="0">
                  <c:v>TERSEDIA</c:v>
                </c:pt>
                <c:pt idx="1">
                  <c:v>SEBAGIAN</c:v>
                </c:pt>
                <c:pt idx="2">
                  <c:v>PERLU KONFIRMASI</c:v>
                </c:pt>
                <c:pt idx="3">
                  <c:v>BELUM TERSEDIA</c:v>
                </c:pt>
                <c:pt idx="4">
                  <c:v>ASUMSI SEMENTARA</c:v>
                </c:pt>
              </c:strCache>
            </c:strRef>
          </c:cat>
          <c:val>
            <c:numRef>
              <c:f>'Availability Matrix'!$B$5:$B$9</c:f>
              <c:numCache>
                <c:formatCode>General</c:formatCode>
                <c:ptCount val="5"/>
                <c:pt idx="0">
                  <c:v>41</c:v>
                </c:pt>
                <c:pt idx="1">
                  <c:v>9</c:v>
                </c:pt>
                <c:pt idx="2">
                  <c:v>14</c:v>
                </c:pt>
                <c:pt idx="3">
                  <c:v>16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6350" cmpd="sng">
      <a:solidFill>
        <a:schemeClr val="tx1">
          <a:lumMod val="50000"/>
          <a:lumOff val="50000"/>
          <a:alpha val="2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209550</xdr:colOff>
      <xdr:row>0</xdr:row>
      <xdr:rowOff>95250</xdr:rowOff>
    </xdr:from>
    <xdr:to>
      <xdr:col>10</xdr:col>
      <xdr:colOff>273050</xdr:colOff>
      <xdr:row>13</xdr:row>
      <xdr:rowOff>25400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3ed152ebe442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Table" displayName="DashboardTable" ref="A4:C10">
  <x:tableColumns count="3">
    <x:tableColumn id="1" name="Metric"/>
    <x:tableColumn id="2" name="Value" dataDxfId="0"/>
    <x:tableColumn id="3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InventoryTable" displayName="MasterInventoryTable" ref="A4:J88">
  <x:tableColumns count="10">
    <x:tableColumn id="1" name="ID"/>
    <x:tableColumn id="2" name="Kategori"/>
    <x:tableColumn id="3" name="Informasi yang Harus Tersedia"/>
    <x:tableColumn id="4" name="Tujuan"/>
    <x:tableColumn id="5" name="Target"/>
    <x:tableColumn id="6" name="Sumber"/>
    <x:tableColumn id="7" name="Ketersediaan"/>
    <x:tableColumn id="8" name="Prioritas"/>
    <x:tableColumn id="9" name="Halaman Potensial"/>
    <x:tableColumn id="10" name="Catat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vailabilityTable" displayName="AvailabilityTable" ref="A4:C9">
  <x:tableColumns count="3">
    <x:tableColumn id="1" name="Status" dataDxfId="1"/>
    <x:tableColumn id="2" name="Jumlah" dataDxfId="2"/>
    <x:tableColumn id="3" name="Persentase" dataDxfId="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NotesTable" displayName="SourceNotesTable" ref="A4:B9">
  <x:tableColumns count="2">
    <x:tableColumn id="1" name="Sumber"/>
    <x:tableColumn id="2" name="Fung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beaa05a8434c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342c42ee9347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fd37b336fe54343" /><Relationship Type="http://schemas.openxmlformats.org/officeDocument/2006/relationships/table" Target="/xl/tables/table3.xml" Id="R6302cf4d50604d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4f8233a53a49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8" hidden="0" customWidth="1"/>
    <x:col min="2" max="2" width="16" hidden="0" customWidth="1"/>
    <x:col min="3" max="3" width="5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83" t="str">
        <x:v>Inventory Dashboard - Aligned</x:v>
      </x:c>
      <x:c r="B1" s="83"/>
      <x:c r="C1" s="83"/>
      <x:c r="D1" s="84"/>
      <x:c r="E1" s="84"/>
      <x:c r="F1" s="84"/>
      <x:c r="G1" s="84"/>
      <x:c r="H1" s="84"/>
    </x:row>
    <x:row r="2" ht="26" customHeight="1">
      <x:c r="A2" s="20" t="str">
        <x:v>Current implementation, approved facts, prototype data, and production blockers.</x:v>
      </x:c>
      <x:c r="B2" s="20"/>
      <x:c r="C2" s="20"/>
      <x:c r="D2" s="47"/>
      <x:c r="E2" s="47"/>
      <x:c r="F2" s="47"/>
      <x:c r="G2" s="47"/>
      <x:c r="H2" s="47"/>
    </x:row>
    <x:row r="3">
      <x:c r="A3" s="10"/>
      <x:c r="B3" s="10"/>
      <x:c r="C3" s="10"/>
    </x:row>
    <x:row r="4" ht="28" customHeight="1">
      <x:c r="A4" s="23" t="str">
        <x:v>Metric</x:v>
      </x:c>
      <x:c r="B4" s="23" t="str">
        <x:v>Value</x:v>
      </x:c>
      <x:c r="C4" s="23" t="str">
        <x:v>Note</x:v>
      </x:c>
    </x:row>
    <x:row r="5" ht="30" customHeight="1">
      <x:c r="A5" s="65" t="str">
        <x:v>Total information items</x:v>
      </x:c>
      <x:c r="B5" s="97" t="n">
        <x:f>COUNTA('Master Inventory'!$A$5:$A$200)</x:f>
        <x:v>109</x:v>
      </x:c>
      <x:c r="C5" s="65" t="str">
        <x:v>Original I-series retained; W-series added from codebase.</x:v>
      </x:c>
    </x:row>
    <x:row r="6" ht="30" customHeight="1">
      <x:c r="A6" s="66" t="str">
        <x:v>Website-found additions</x:v>
      </x:c>
      <x:c r="B6" s="98" t="n">
        <x:f>COUNTIF('Master Inventory'!$A$5:$A$200,"W-*")</x:f>
        <x:v>0</x:v>
      </x:c>
      <x:c r="C6" s="66" t="str">
        <x:v>Implemented items not previously documented.</x:v>
      </x:c>
    </x:row>
    <x:row r="7" ht="30" customHeight="1">
      <x:c r="A7" s="66" t="str">
        <x:v>Available/confirmed</x:v>
      </x:c>
      <x:c r="B7" s="98" t="n">
        <x:f>COUNTIF('Master Inventory'!$G$5:$G$200,"TERSEDIA")</x:f>
        <x:v>47</x:v>
      </x:c>
      <x:c r="C7" s="66" t="str">
        <x:v>May still require page-specific legal review.</x:v>
      </x:c>
    </x:row>
    <x:row r="8" ht="30" customHeight="1">
      <x:c r="A8" s="66" t="str">
        <x:v>Prototype/dummy</x:v>
      </x:c>
      <x:c r="B8" s="98" t="n">
        <x:f>COUNTIF('Master Inventory'!$G$5:$G$200,"DATA DUMMY")+COUNTIF('Master Inventory'!$G$5:$G$200,"PLACEHOLDER INTERNAL")</x:f>
        <x:v>8</x:v>
      </x:c>
      <x:c r="C8" s="66" t="str">
        <x:v>Allowed for staging only.</x:v>
      </x:c>
    </x:row>
    <x:row r="9" ht="30" customHeight="1">
      <x:c r="A9" s="66" t="str">
        <x:v>Launch restricted</x:v>
      </x:c>
      <x:c r="B9" s="98" t="n">
        <x:f>COUNTIF('Master Inventory'!$G$5:$G$200,"TIDAK BOLEH TAYANG")+COUNTIF('Master Inventory'!$G$5:$G$200,"BELUM TERSEDIA")</x:f>
        <x:v>24</x:v>
      </x:c>
      <x:c r="C9" s="66" t="str">
        <x:v>Requires replacement, review, or removal.</x:v>
      </x:c>
    </x:row>
    <x:row r="10" ht="30" customHeight="1">
      <x:c r="A10" s="13"/>
      <x:c r="B10" s="14"/>
      <x:c r="C10" s="13"/>
    </x:row>
    <x:row r="11" ht="30" customHeight="1">
      <x:c r="A11" s="109" t="str">
        <x:v>Alignment control</x:v>
      </x:c>
      <x:c r="B11" s="107" t="str">
        <x:v>Contact details currently shown belong to the project/Kultivate. They are not approved public contacts for Galdino &amp; Partner.</x:v>
      </x:c>
      <x:c r="C11" s="106"/>
      <x:c r="D11" s="106"/>
      <x:c r="E11" s="106"/>
      <x:c r="F11" s="106"/>
      <x:c r="G11" s="106"/>
      <x:c r="H11" s="106"/>
    </x:row>
    <x:row r="12" ht="30" customHeight="1">
      <x:c r="A12" s="106"/>
      <x:c r="B12" s="107"/>
      <x:c r="C12" s="106"/>
      <x:c r="D12" s="106"/>
      <x:c r="E12" s="106"/>
      <x:c r="F12" s="106"/>
      <x:c r="G12" s="106"/>
      <x:c r="H12" s="106"/>
    </x:row>
    <x:row r="13">
      <x:c r="A13" s="106"/>
      <x:c r="B13" s="106"/>
      <x:c r="C13" s="106"/>
      <x:c r="D13" s="106"/>
      <x:c r="E13" s="106"/>
      <x:c r="F13" s="106"/>
      <x:c r="G13" s="106"/>
      <x:c r="H13" s="106"/>
    </x:row>
  </x:sheetData>
  <x:mergeCells>
    <x:mergeCell ref="A1:C1"/>
    <x:mergeCell ref="A2:C3"/>
    <x:mergeCell ref="B11:H13"/>
  </x:mergeCells>
  <x:pageMargins left="0.7" right="0.7" top="0.75" bottom="0.75" header="0.3" footer="0.3"/>
  <x:tableParts count="1">
    <x:tablePart xmlns:r="http://schemas.openxmlformats.org/officeDocument/2006/relationships" r:id="R21beaa05a8434c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hidden="0" customWidth="1"/>
    <x:col min="2" max="2" width="18" hidden="0" customWidth="1"/>
    <x:col min="3" max="4" width="36" customWidth="1"/>
    <x:col min="5" max="9" width="18" customWidth="1"/>
    <x:col min="10" max="10" width="52" hidden="0" customWidth="1"/>
    <x:col min="3" max="3" width="46" hidden="0" customWidth="1"/>
    <x:col min="4" max="4" width="28" hidden="0" customWidth="1"/>
    <x:col min="5" max="5" width="18" hidden="0" customWidth="1"/>
    <x:col min="6" max="6" width="24" hidden="0" customWidth="1"/>
    <x:col min="7" max="7" width="30" hidden="0" customWidth="1"/>
    <x:col min="8" max="8" width="12" hidden="0" customWidth="1"/>
    <x:col min="9" max="9" width="28" hidden="0" customWidth="1"/>
  </x:cols>
  <x:sheetData>
    <x:row r="1" ht="34" customHeight="1">
      <x:c r="A1" s="18" t="str">
        <x:v>Inventarisasi Seluruh Informasi Website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ht="28" customHeight="1">
      <x:c r="A2" s="20" t="str">
        <x:v>Fase 1 + Fase 2 + current website baseline. Website-found items use W-series IDs.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4" customHeight="1">
      <x:c r="A4" s="23" t="str">
        <x:v>ID</x:v>
      </x:c>
      <x:c r="B4" s="23" t="str">
        <x:v>Kategori</x:v>
      </x:c>
      <x:c r="C4" s="23" t="str">
        <x:v>Informasi yang Harus Tersedia</x:v>
      </x:c>
      <x:c r="D4" s="23" t="str">
        <x:v>Tujuan</x:v>
      </x:c>
      <x:c r="E4" s="23" t="str">
        <x:v>Target</x:v>
      </x:c>
      <x:c r="F4" s="23" t="str">
        <x:v>Sumber</x:v>
      </x:c>
      <x:c r="G4" s="23" t="str">
        <x:v>Ketersediaan</x:v>
      </x:c>
      <x:c r="H4" s="23" t="str">
        <x:v>Prioritas</x:v>
      </x:c>
      <x:c r="I4" s="23" t="str">
        <x:v>Halaman Potensial</x:v>
      </x:c>
      <x:c r="J4" s="23" t="str">
        <x:v>Catatan</x:v>
      </x:c>
    </x:row>
    <x:row r="5" ht="23">
      <x:c r="A5" s="30" t="str">
        <x:v>I-001</x:v>
      </x:c>
      <x:c r="B5" s="30" t="str">
        <x:v>Brand</x:v>
      </x:c>
      <x:c r="C5" s="30" t="str">
        <x:v>Nama tampilan/descriptor: Galdino &amp; Partner by Kultivate</x:v>
      </x:c>
      <x:c r="D5" s="30" t="str">
        <x:v>Identitas konsisten</x:v>
      </x:c>
      <x:c r="E5" s="30" t="str">
        <x:v>Semua</x:v>
      </x:c>
      <x:c r="F5" s="30" t="str">
        <x:v>User decision 2026-08-05</x:v>
      </x:c>
      <x:c r="G5" s="33" t="str">
        <x:v>TERSEDIA</x:v>
      </x:c>
      <x:c r="H5" s="30" t="str">
        <x:v>P1</x:v>
      </x:c>
      <x:c r="I5" s="30" t="str">
        <x:v>Home, Profile, Footer</x:v>
      </x:c>
      <x:c r="J5" s="30" t="str">
        <x:v>Display name retained; descriptor approved.</x:v>
      </x:c>
    </x:row>
    <x:row r="6" ht="23">
      <x:c r="A6" s="31" t="str">
        <x:v>I-002</x:v>
      </x:c>
      <x:c r="B6" s="31" t="str">
        <x:v>Brand</x:v>
      </x:c>
      <x:c r="C6" s="31" t="str">
        <x:v>Operator legal: PT Karya Usaha Sukses</x:v>
      </x:c>
      <x:c r="D6" s="31" t="str">
        <x:v>Kepastian identitas dan legal notice</x:v>
      </x:c>
      <x:c r="E6" s="31" t="str">
        <x:v>Decision-maker</x:v>
      </x:c>
      <x:c r="F6" s="31" t="str">
        <x:v>User decision 2026-08-05</x:v>
      </x:c>
      <x:c r="G6" s="35" t="str">
        <x:v>TERSEDIA</x:v>
      </x:c>
      <x:c r="H6" s="31" t="str">
        <x:v>P1</x:v>
      </x:c>
      <x:c r="I6" s="31" t="str">
        <x:v>Profile, legal notice</x:v>
      </x:c>
      <x:c r="J6" s="31" t="str">
        <x:v>Perseroan terbatas, berdiri sejak 2015.</x:v>
      </x:c>
    </x:row>
    <x:row r="7" ht="23">
      <x:c r="A7" s="31" t="str">
        <x:v>I-003</x:v>
      </x:c>
      <x:c r="B7" s="31" t="str">
        <x:v>Brand</x:v>
      </x:c>
      <x:c r="C7" s="31" t="str">
        <x:v>Peran brand sebagai konsultan perizinan, law firm, dan legal-regulatory partner</x:v>
      </x:c>
      <x:c r="D7" s="31" t="str">
        <x:v>Menjelaskan kategori bisnis</x:v>
      </x:c>
      <x:c r="E7" s="31" t="str">
        <x:v>Semua</x:v>
      </x:c>
      <x:c r="F7" s="31" t="str">
        <x:v>Discovery 1.1; Brand p.3</x:v>
      </x:c>
      <x:c r="G7" s="35" t="str">
        <x:v>TERSEDIA</x:v>
      </x:c>
      <x:c r="H7" s="31" t="str">
        <x:v>P1</x:v>
      </x:c>
      <x:c r="I7" s="31" t="str">
        <x:v>Home, Profil</x:v>
      </x:c>
      <x:c r="J7" s="31" t="str">
        <x:v>Permit handling harus menjadi fokus pertama.</x:v>
      </x:c>
    </x:row>
    <x:row r="8">
      <x:c r="A8" s="31" t="str">
        <x:v>I-004</x:v>
      </x:c>
      <x:c r="B8" s="31" t="str">
        <x:v>Positioning</x:v>
      </x:c>
      <x:c r="C8" s="31" t="str">
        <x:v>Permit handling first; legal capability in support</x:v>
      </x:c>
      <x:c r="D8" s="31" t="str">
        <x:v>Membedakan dari konsultasi hukum generik</x:v>
      </x:c>
      <x:c r="E8" s="31" t="str">
        <x:v>Business leaders</x:v>
      </x:c>
      <x:c r="F8" s="31" t="str">
        <x:v>Brand p.5; Discovery 3.4</x:v>
      </x:c>
      <x:c r="G8" s="35" t="str">
        <x:v>TERSEDIA</x:v>
      </x:c>
      <x:c r="H8" s="31" t="str">
        <x:v>P1</x:v>
      </x:c>
      <x:c r="I8" s="31" t="str">
        <x:v>Home, Layanan</x:v>
      </x:c>
      <x:c r="J8" s="31" t="str">
        <x:v>Jangan dibingkai sebagai hourly legal consultation.</x:v>
      </x:c>
    </x:row>
    <x:row r="9" ht="23">
      <x:c r="A9" s="31" t="str">
        <x:v>I-005</x:v>
      </x:c>
      <x:c r="B9" s="31" t="str">
        <x:v>Value proposition</x:v>
      </x:c>
      <x:c r="C9" s="31" t="str">
        <x:v>Kompleksitas regulasi menjadi langkah terurut dan decision-ready</x:v>
      </x:c>
      <x:c r="D9" s="31" t="str">
        <x:v>Menjelaskan nilai utama</x:v>
      </x:c>
      <x:c r="E9" s="31" t="str">
        <x:v>Semua</x:v>
      </x:c>
      <x:c r="F9" s="31" t="str">
        <x:v>Discovery 3.1; Brand p.3</x:v>
      </x:c>
      <x:c r="G9" s="35" t="str">
        <x:v>TERSEDIA</x:v>
      </x:c>
      <x:c r="H9" s="31" t="str">
        <x:v>P1</x:v>
      </x:c>
      <x:c r="I9" s="31" t="str">
        <x:v>Home, Layanan</x:v>
      </x:c>
      <x:c r="J9" s="31" t="str">
        <x:v>Tidak menjanjikan hasil otoritas.</x:v>
      </x:c>
    </x:row>
    <x:row r="10" ht="23">
      <x:c r="A10" s="31" t="str">
        <x:v>I-006</x:v>
      </x:c>
      <x:c r="B10" s="31" t="str">
        <x:v>Pesan utama</x:v>
      </x:c>
      <x:c r="C10" s="31" t="str">
        <x:v>Map requirements, prepare documents, guide process</x:v>
      </x:c>
      <x:c r="D10" s="31" t="str">
        <x:v>Menyederhanakan narrative layanan</x:v>
      </x:c>
      <x:c r="E10" s="31" t="str">
        <x:v>Semua</x:v>
      </x:c>
      <x:c r="F10" s="31" t="str">
        <x:v>Brand p.3</x:v>
      </x:c>
      <x:c r="G10" s="35" t="str">
        <x:v>TERSEDIA</x:v>
      </x:c>
      <x:c r="H10" s="31" t="str">
        <x:v>P1</x:v>
      </x:c>
      <x:c r="I10" s="31" t="str">
        <x:v>Home, Layanan</x:v>
      </x:c>
      <x:c r="J10" s="31" t="str">
        <x:v>Dapat diterjemahkan natural ke Bahasa Indonesia.</x:v>
      </x:c>
    </x:row>
    <x:row r="11">
      <x:c r="A11" s="31" t="str">
        <x:v>I-007</x:v>
      </x:c>
      <x:c r="B11" s="31" t="str">
        <x:v>Brand essence</x:v>
      </x:c>
      <x:c r="C11" s="31" t="str">
        <x:v>Regulatory clarity for business action</x:v>
      </x:c>
      <x:c r="D11" s="31" t="str">
        <x:v>Panduan internal arah pesan</x:v>
      </x:c>
      <x:c r="E11" s="31" t="str">
        <x:v>Internal/semua</x:v>
      </x:c>
      <x:c r="F11" s="31" t="str">
        <x:v>Brand p.5</x:v>
      </x:c>
      <x:c r="G11" s="31" t="str">
        <x:v>ASUMSI SEMENTARA</x:v>
      </x:c>
      <x:c r="H11" s="31" t="str">
        <x:v>P2</x:v>
      </x:c>
      <x:c r="I11" s="31" t="str">
        <x:v>Internal; tidak wajib tampil</x:v>
      </x:c>
      <x:c r="J11" s="31" t="str">
        <x:v>Working line, bukan klaim pasar terverifikasi.</x:v>
      </x:c>
    </x:row>
    <x:row r="12" ht="23">
      <x:c r="A12" s="31" t="str">
        <x:v>I-008</x:v>
      </x:c>
      <x:c r="B12" s="31" t="str">
        <x:v>Karakter brand</x:v>
      </x:c>
      <x:c r="C12" s="31" t="str">
        <x:v>Profesional, tegas, modern; calm, precise, practical, commercially aware, premium, decisive</x:v>
      </x:c>
      <x:c r="D12" s="31" t="str">
        <x:v>Konsistensi pengalaman</x:v>
      </x:c>
      <x:c r="E12" s="31" t="str">
        <x:v>Semua</x:v>
      </x:c>
      <x:c r="F12" s="31" t="str">
        <x:v>Discovery 4.2-4.3; Brand p.6</x:v>
      </x:c>
      <x:c r="G12" s="35" t="str">
        <x:v>TERSEDIA</x:v>
      </x:c>
      <x:c r="H12" s="31" t="str">
        <x:v>P1</x:v>
      </x:c>
      <x:c r="I12" s="31" t="str">
        <x:v>Semua halaman</x:v>
      </x:c>
      <x:c r="J12" s="31" t="str">
        <x:v>Gunakan restrained hierarchy dan bukti terverifikasi.</x:v>
      </x:c>
    </x:row>
    <x:row r="13" ht="23">
      <x:c r="A13" s="31" t="str">
        <x:v>I-009</x:v>
      </x:c>
      <x:c r="B13" s="31" t="str">
        <x:v>Tone of voice</x:v>
      </x:c>
      <x:c r="C13" s="31" t="str">
        <x:v>Profesional, mudah dipahami, plain language tanpa menghilangkan legal nuance</x:v>
      </x:c>
      <x:c r="D13" s="31" t="str">
        <x:v>Kejelasan komunikasi</x:v>
      </x:c>
      <x:c r="E13" s="31" t="str">
        <x:v>Semua</x:v>
      </x:c>
      <x:c r="F13" s="31" t="str">
        <x:v>Discovery 4.3-4.4; Brand p.7</x:v>
      </x:c>
      <x:c r="G13" s="35" t="str">
        <x:v>TERSEDIA</x:v>
      </x:c>
      <x:c r="H13" s="31" t="str">
        <x:v>P1</x:v>
      </x:c>
      <x:c r="I13" s="31" t="str">
        <x:v>Semua halaman</x:v>
      </x:c>
      <x:c r="J13" s="31" t="str">
        <x:v>Utamakan istilah membantu, memetakan, review, guide, requirements.</x:v>
      </x:c>
    </x:row>
    <x:row r="14" ht="23">
      <x:c r="A14" s="31" t="str">
        <x:v>I-010</x:v>
      </x:c>
      <x:c r="B14" s="31" t="str">
        <x:v>Claim discipline</x:v>
      </x:c>
      <x:c r="C14" s="31" t="str">
        <x:v>Larangan guarantee, fastest, 100% approved, superlatif, janji otoritas</x:v>
      </x:c>
      <x:c r="D14" s="31" t="str">
        <x:v>Mencegah klaim menyesatkan</x:v>
      </x:c>
      <x:c r="E14" s="31" t="str">
        <x:v>Semua</x:v>
      </x:c>
      <x:c r="F14" s="31" t="str">
        <x:v>Discovery 3.6; Brand p.7-9</x:v>
      </x:c>
      <x:c r="G14" s="35" t="str">
        <x:v>TERSEDIA</x:v>
      </x:c>
      <x:c r="H14" s="31" t="str">
        <x:v>P1</x:v>
      </x:c>
      <x:c r="I14" s="31" t="str">
        <x:v>Semua halaman</x:v>
      </x:c>
      <x:c r="J14" s="31" t="str">
        <x:v>Wajib diterapkan pada CTA dan bukti.</x:v>
      </x:c>
    </x:row>
    <x:row r="15" ht="23">
      <x:c r="A15" s="31" t="str">
        <x:v>I-011</x:v>
      </x:c>
      <x:c r="B15" s="31" t="str">
        <x:v>Visual</x:v>
      </x:c>
      <x:c r="C15" s="31" t="str">
        <x:v>Palet brand red-led, near-black, paper/off-white, deep red, gold sekunder</x:v>
      </x:c>
      <x:c r="D15" s="31" t="str">
        <x:v>Konsistensi visual</x:v>
      </x:c>
      <x:c r="E15" s="31" t="str">
        <x:v>Semua</x:v>
      </x:c>
      <x:c r="F15" s="31" t="str">
        <x:v>Brand p.14; Discovery 4.6</x:v>
      </x:c>
      <x:c r="G15" s="35" t="str">
        <x:v>TERSEDIA</x:v>
      </x:c>
      <x:c r="H15" s="31" t="str">
        <x:v>P2</x:v>
      </x:c>
      <x:c r="I15" s="31" t="str">
        <x:v>Semua halaman</x:v>
      </x:c>
      <x:c r="J15" s="31" t="str">
        <x:v>Jika konflik off-white, prioritaskan Brand Guidelines: #F4F3F1.</x:v>
      </x:c>
    </x:row>
    <x:row r="16" ht="23">
      <x:c r="A16" s="31" t="str">
        <x:v>I-012</x:v>
      </x:c>
      <x:c r="B16" s="31" t="str">
        <x:v>Visual</x:v>
      </x:c>
      <x:c r="C16" s="31" t="str">
        <x:v>Aturan logo master transparan, tanpa recolour/crop/plate</x:v>
      </x:c>
      <x:c r="D16" s="31" t="str">
        <x:v>Menjaga integritas identitas</x:v>
      </x:c>
      <x:c r="E16" s="31" t="str">
        <x:v>Semua</x:v>
      </x:c>
      <x:c r="F16" s="31" t="str">
        <x:v>Brand p.10-13</x:v>
      </x:c>
      <x:c r="G16" s="35" t="str">
        <x:v>TERSEDIA</x:v>
      </x:c>
      <x:c r="H16" s="31" t="str">
        <x:v>P1</x:v>
      </x:c>
      <x:c r="I16" s="31" t="str">
        <x:v>Header, footer</x:v>
      </x:c>
      <x:c r="J16" s="31" t="str">
        <x:v>Master file aktual tidak termasuk paket kerja ini.</x:v>
      </x:c>
    </x:row>
    <x:row r="17" ht="23">
      <x:c r="A17" s="31" t="str">
        <x:v>I-013</x:v>
      </x:c>
      <x:c r="B17" s="31" t="str">
        <x:v>Bilingual</x:v>
      </x:c>
      <x:c r="C17" s="31" t="str">
        <x:v>Struktur /id/ dan /en/ dengan konten ekuivalen; istilah Indonesia dipertahankan bila perlu</x:v>
      </x:c>
      <x:c r="D17" s="31" t="str">
        <x:v>Melayani tim lokal dan internasional</x:v>
      </x:c>
      <x:c r="E17" s="31" t="str">
        <x:v>International teams</x:v>
      </x:c>
      <x:c r="F17" s="31" t="str">
        <x:v>Discovery 5.5-5.6; Brand p.19</x:v>
      </x:c>
      <x:c r="G17" s="35" t="str">
        <x:v>TERSEDIA</x:v>
      </x:c>
      <x:c r="H17" s="31" t="str">
        <x:v>P1</x:v>
      </x:c>
      <x:c r="I17" s="31" t="str">
        <x:v>Seluruh halaman</x:v>
      </x:c>
      <x:c r="J17" s="31" t="str">
        <x:v>Review legal bilingual masih diperlukan.</x:v>
      </x:c>
    </x:row>
    <x:row r="18" ht="23">
      <x:c r="A18" s="31" t="str">
        <x:v>I-014</x:v>
      </x:c>
      <x:c r="B18" s="31" t="str">
        <x:v>Legal disclaimer</x:v>
      </x:c>
      <x:c r="C18" s="31" t="str">
        <x:v>Informasi umum, bukan legal advice untuk perkara spesifik</x:v>
      </x:c>
      <x:c r="D18" s="31" t="str">
        <x:v>Menetapkan batas informasi</x:v>
      </x:c>
      <x:c r="E18" s="31" t="str">
        <x:v>Semua</x:v>
      </x:c>
      <x:c r="F18" s="31" t="str">
        <x:v>Brand p.8; Discovery 5.4</x:v>
      </x:c>
      <x:c r="G18" s="35" t="str">
        <x:v>TERSEDIA</x:v>
      </x:c>
      <x:c r="H18" s="31" t="str">
        <x:v>P1</x:v>
      </x:c>
      <x:c r="I18" s="31" t="str">
        <x:v>Footer, Terms &amp; Disclaimer, artikel</x:v>
      </x:c>
      <x:c r="J18" s="31" t="str">
        <x:v>Teks final legal perlu disahkan reviewer.</x:v>
      </x:c>
    </x:row>
    <x:row r="19">
      <x:c r="A19" s="31" t="str">
        <x:v>I-015</x:v>
      </x:c>
      <x:c r="B19" s="31" t="str">
        <x:v>Perusahaan</x:v>
      </x:c>
      <x:c r="C19" s="31" t="str">
        <x:v>Deskripsi bisnis satu paragraf</x:v>
      </x:c>
      <x:c r="D19" s="31" t="str">
        <x:v>Menjawab siapa dan apa yang dilakukan</x:v>
      </x:c>
      <x:c r="E19" s="31" t="str">
        <x:v>Semua</x:v>
      </x:c>
      <x:c r="F19" s="31" t="str">
        <x:v>Discovery 1.1</x:v>
      </x:c>
      <x:c r="G19" s="35" t="str">
        <x:v>TERSEDIA</x:v>
      </x:c>
      <x:c r="H19" s="31" t="str">
        <x:v>P1</x:v>
      </x:c>
      <x:c r="I19" s="31" t="str">
        <x:v>Home, Profil</x:v>
      </x:c>
      <x:c r="J19" s="31" t="str">
        <x:v>Dapat dipakai sebagai dasar, bukan final copy.</x:v>
      </x:c>
    </x:row>
    <x:row r="20">
      <x:c r="A20" s="31" t="str">
        <x:v>I-016</x:v>
      </x:c>
      <x:c r="B20" s="31" t="str">
        <x:v>Perusahaan</x:v>
      </x:c>
      <x:c r="C20" s="31" t="str">
        <x:v>Wilayah layanan Indonesia dan orientasi bilingual</x:v>
      </x:c>
      <x:c r="D20" s="31" t="str">
        <x:v>Menetapkan coverage</x:v>
      </x:c>
      <x:c r="E20" s="31" t="str">
        <x:v>Lokal dan internasional</x:v>
      </x:c>
      <x:c r="F20" s="31" t="str">
        <x:v>Discovery 1.4</x:v>
      </x:c>
      <x:c r="G20" s="31" t="str">
        <x:v>SEBAGIAN</x:v>
      </x:c>
      <x:c r="H20" s="31" t="str">
        <x:v>P1</x:v>
      </x:c>
      <x:c r="I20" s="31" t="str">
        <x:v>Home, Profil, Kontak</x:v>
      </x:c>
      <x:c r="J20" s="31" t="str">
        <x:v>Kota/provinsi prioritas belum dikonfirmasi.</x:v>
      </x:c>
    </x:row>
    <x:row r="21" ht="23">
      <x:c r="A21" s="31" t="str">
        <x:v>I-017</x:v>
      </x:c>
      <x:c r="B21" s="31" t="str">
        <x:v>Perusahaan</x:v>
      </x:c>
      <x:c r="C21" s="31" t="str">
        <x:v>Kedudukan: Kota Tangerang, Banten, Indonesia</x:v>
      </x:c>
      <x:c r="D21" s="31" t="str">
        <x:v>Trust dan akses kontak</x:v>
      </x:c>
      <x:c r="E21" s="31" t="str">
        <x:v>Prospek siap menghubungi</x:v>
      </x:c>
      <x:c r="F21" s="31" t="str">
        <x:v>User decision 2026-08-05</x:v>
      </x:c>
      <x:c r="G21" s="35" t="str">
        <x:v>TERSEDIA SEBAGIAN</x:v>
      </x:c>
      <x:c r="H21" s="31" t="str">
        <x:v>P1</x:v>
      </x:c>
      <x:c r="I21" s="31" t="str">
        <x:v>Kontak, footer</x:v>
      </x:c>
      <x:c r="J21" s="31" t="str">
        <x:v>Alamat jalan lengkap belum tersedia.</x:v>
      </x:c>
    </x:row>
    <x:row r="22" ht="23">
      <x:c r="A22" s="31" t="str">
        <x:v>I-018</x:v>
      </x:c>
      <x:c r="B22" s="31" t="str">
        <x:v>Perusahaan</x:v>
      </x:c>
      <x:c r="C22" s="31" t="str">
        <x:v>Kontak publik final Galdino &amp; Partner</x:v>
      </x:c>
      <x:c r="D22" s="31" t="str">
        <x:v>Memulai komunikasi</x:v>
      </x:c>
      <x:c r="E22" s="31" t="str">
        <x:v>Prospek siap menghubungi</x:v>
      </x:c>
      <x:c r="F22" s="31" t="str">
        <x:v>User decision + website</x:v>
      </x:c>
      <x:c r="G22" s="35" t="str">
        <x:v>BELUM TERSEDIA</x:v>
      </x:c>
      <x:c r="H22" s="31" t="str">
        <x:v>P1</x:v>
      </x:c>
      <x:c r="I22" s="31" t="str">
        <x:v>Kontak, header/footer</x:v>
      </x:c>
      <x:c r="J22" s="31" t="str">
        <x:v>Nomor/email website adalah kontak proyek/Kultivate.</x:v>
      </x:c>
    </x:row>
    <x:row r="23">
      <x:c r="A23" s="31" t="str">
        <x:v>I-019</x:v>
      </x:c>
      <x:c r="B23" s="31" t="str">
        <x:v>Perusahaan</x:v>
      </x:c>
      <x:c r="C23" s="31" t="str">
        <x:v>Hubungan brand: Galdino &amp; Partner by Kultivate</x:v>
      </x:c>
      <x:c r="D23" s="31" t="str">
        <x:v>Transparansi hubungan brand</x:v>
      </x:c>
      <x:c r="E23" s="31" t="str">
        <x:v>Semua</x:v>
      </x:c>
      <x:c r="F23" s="31" t="str">
        <x:v>User decision 2026-08-05</x:v>
      </x:c>
      <x:c r="G23" s="35" t="str">
        <x:v>TERSEDIA</x:v>
      </x:c>
      <x:c r="H23" s="31" t="str">
        <x:v>P2</x:v>
      </x:c>
      <x:c r="I23" s="31" t="str">
        <x:v>Profil/footer opsional</x:v>
      </x:c>
      <x:c r="J23" s="31" t="str">
        <x:v>Kultivate descriptor boleh dipublikasikan; operator legal tetap PT Karya Usaha Sukses.</x:v>
      </x:c>
    </x:row>
    <x:row r="24">
      <x:c r="A24" s="31" t="str">
        <x:v>I-020</x:v>
      </x:c>
      <x:c r="B24" s="31" t="str">
        <x:v>Proyek</x:v>
      </x:c>
      <x:c r="C24" s="31" t="str">
        <x:v>Target tayang 29 Agustus 2026</x:v>
      </x:c>
      <x:c r="D24" s="31" t="str">
        <x:v>Kendali jadwal</x:v>
      </x:c>
      <x:c r="E24" s="31" t="str">
        <x:v>Internal</x:v>
      </x:c>
      <x:c r="F24" s="31" t="str">
        <x:v>Discovery identitas</x:v>
      </x:c>
      <x:c r="G24" s="35" t="str">
        <x:v>TERSEDIA</x:v>
      </x:c>
      <x:c r="H24" s="31" t="str">
        <x:v>P1</x:v>
      </x:c>
      <x:c r="I24" s="31" t="str">
        <x:v>Dokumen internal</x:v>
      </x:c>
      <x:c r="J24" s="31" t="str">
        <x:v>Terancam jika aset dan legal facts belum lengkap.</x:v>
      </x:c>
    </x:row>
    <x:row r="25">
      <x:c r="A25" s="31" t="str">
        <x:v>I-021</x:v>
      </x:c>
      <x:c r="B25" s="31" t="str">
        <x:v>Proyek</x:v>
      </x:c>
      <x:c r="C25" s="31" t="str">
        <x:v>Target domain: galdinopartner.co.id</x:v>
      </x:c>
      <x:c r="D25" s="31" t="str">
        <x:v>Alamat website</x:v>
      </x:c>
      <x:c r="E25" s="31" t="str">
        <x:v>Semua</x:v>
      </x:c>
      <x:c r="F25" s="31" t="str">
        <x:v>User decision 2026-08-05</x:v>
      </x:c>
      <x:c r="G25" s="37" t="str">
        <x:v>MENUNGGU VERIFIKASI</x:v>
      </x:c>
      <x:c r="H25" s="31" t="str">
        <x:v>P1</x:v>
      </x:c>
      <x:c r="I25" s="31" t="str">
        <x:v>Teknis/header</x:v>
      </x:c>
      <x:c r="J25" s="31" t="str">
        <x:v>Target disetujui tetapi belum dibeli; code masih memakai example domain.</x:v>
      </x:c>
    </x:row>
    <x:row r="26">
      <x:c r="A26" s="31" t="str">
        <x:v>I-022</x:v>
      </x:c>
      <x:c r="B26" s="31" t="str">
        <x:v>Bisnis</x:v>
      </x:c>
      <x:c r="C26" s="31" t="str">
        <x:v>Model revenue: proyek, retainer, tender/procurement</x:v>
      </x:c>
      <x:c r="D26" s="31" t="str">
        <x:v>Konteks layanan dan inquiry</x:v>
      </x:c>
      <x:c r="E26" s="31" t="str">
        <x:v>Decision-maker</x:v>
      </x:c>
      <x:c r="F26" s="31" t="str">
        <x:v>Discovery 1.3</x:v>
      </x:c>
      <x:c r="G26" s="35" t="str">
        <x:v>TERSEDIA</x:v>
      </x:c>
      <x:c r="H26" s="31" t="str">
        <x:v>P2</x:v>
      </x:c>
      <x:c r="I26" s="31" t="str">
        <x:v>Profil, Layanan</x:v>
      </x:c>
      <x:c r="J26" s="31" t="str">
        <x:v>Fee publik tidak tersedia.</x:v>
      </x:c>
    </x:row>
    <x:row r="27" ht="23">
      <x:c r="A27" s="31" t="str">
        <x:v>I-023</x:v>
      </x:c>
      <x:c r="B27" s="31" t="str">
        <x:v>Bisnis</x:v>
      </x:c>
      <x:c r="C27" s="31" t="str">
        <x:v>Prioritas: revenue, kurangi referral, perkuat kredibilitas</x:v>
      </x:c>
      <x:c r="D27" s="31" t="str">
        <x:v>Arah tujuan website</x:v>
      </x:c>
      <x:c r="E27" s="31" t="str">
        <x:v>Internal</x:v>
      </x:c>
      <x:c r="F27" s="31" t="str">
        <x:v>Discovery 1.8</x:v>
      </x:c>
      <x:c r="G27" s="35" t="str">
        <x:v>TERSEDIA</x:v>
      </x:c>
      <x:c r="H27" s="31" t="str">
        <x:v>P1</x:v>
      </x:c>
      <x:c r="I27" s="31" t="str">
        <x:v>Seluruh IA</x:v>
      </x:c>
      <x:c r="J27" s="31" t="str">
        <x:v>Menjadi dasar prioritas layanan dan trust.</x:v>
      </x:c>
    </x:row>
    <x:row r="28" ht="23">
      <x:c r="A28" s="31" t="str">
        <x:v>I-024</x:v>
      </x:c>
      <x:c r="B28" s="31" t="str">
        <x:v>Batas layanan</x:v>
      </x:c>
      <x:c r="C28" s="31" t="str">
        <x:v>Tidak menerima emergency same-day, jaminan otoritas, manipulasi/ilegal</x:v>
      </x:c>
      <x:c r="D28" s="31" t="str">
        <x:v>Menyaring inquiry</x:v>
      </x:c>
      <x:c r="E28" s="31" t="str">
        <x:v>Prospek</x:v>
      </x:c>
      <x:c r="F28" s="31" t="str">
        <x:v>Discovery 1.10</x:v>
      </x:c>
      <x:c r="G28" s="35" t="str">
        <x:v>TERSEDIA</x:v>
      </x:c>
      <x:c r="H28" s="31" t="str">
        <x:v>P1</x:v>
      </x:c>
      <x:c r="I28" s="31" t="str">
        <x:v>FAQ, Contact, Terms</x:v>
      </x:c>
      <x:c r="J28" s="31" t="str">
        <x:v>Formulasi final harus profesional dan jelas.</x:v>
      </x:c>
    </x:row>
    <x:row r="29" ht="23">
      <x:c r="A29" s="31" t="str">
        <x:v>I-025</x:v>
      </x:c>
      <x:c r="B29" s="31" t="str">
        <x:v>Operasional</x:v>
      </x:c>
      <x:c r="C29" s="31" t="str">
        <x:v>Jam operasional dan SLA respons publik</x:v>
      </x:c>
      <x:c r="D29" s="31" t="str">
        <x:v>Mengatur ekspektasi</x:v>
      </x:c>
      <x:c r="E29" s="31" t="str">
        <x:v>Prospek</x:v>
      </x:c>
      <x:c r="F29" s="31" t="str">
        <x:v>Discovery 5.2</x:v>
      </x:c>
      <x:c r="G29" s="31" t="str">
        <x:v>PERLU KONFIRMASI</x:v>
      </x:c>
      <x:c r="H29" s="31" t="str">
        <x:v>P2</x:v>
      </x:c>
      <x:c r="I29" s="31" t="str">
        <x:v>Kontak, FAQ</x:v>
      </x:c>
      <x:c r="J29" s="31" t="str">
        <x:v>Maksimal satu hari kerja disebut sebagai usulan, perlu disahkan.</x:v>
      </x:c>
    </x:row>
    <x:row r="30">
      <x:c r="A30" s="31" t="str">
        <x:v>I-026</x:v>
      </x:c>
      <x:c r="B30" s="31" t="str">
        <x:v>Target pengguna</x:v>
      </x:c>
      <x:c r="C30" s="31" t="str">
        <x:v>Pemilik, founder, direktur, dan tim operasional</x:v>
      </x:c>
      <x:c r="D30" s="31" t="str">
        <x:v>Orientasi utama</x:v>
      </x:c>
      <x:c r="E30" s="31" t="str">
        <x:v>Business leaders</x:v>
      </x:c>
      <x:c r="F30" s="31" t="str">
        <x:v>Brand p.4; Discovery 2.1</x:v>
      </x:c>
      <x:c r="G30" s="35" t="str">
        <x:v>TERSEDIA</x:v>
      </x:c>
      <x:c r="H30" s="31" t="str">
        <x:v>P1</x:v>
      </x:c>
      <x:c r="I30" s="31" t="str">
        <x:v>Home, Layanan</x:v>
      </x:c>
      <x:c r="J30" s="31" t="str">
        <x:v>Mencari jalur izin yang jelas.</x:v>
      </x:c>
    </x:row>
    <x:row r="31" ht="23">
      <x:c r="A31" s="31" t="str">
        <x:v>I-027</x:v>
      </x:c>
      <x:c r="B31" s="31" t="str">
        <x:v>Target pengguna</x:v>
      </x:c>
      <x:c r="C31" s="31" t="str">
        <x:v>Tim legal, compliance, corporate secretary, procurement</x:v>
      </x:c>
      <x:c r="D31" s="31" t="str">
        <x:v>Mendukung evaluator vendor</x:v>
      </x:c>
      <x:c r="E31" s="31" t="str">
        <x:v>Legal/procurement</x:v>
      </x:c>
      <x:c r="F31" s="31" t="str">
        <x:v>Brand p.4; Discovery 2.2</x:v>
      </x:c>
      <x:c r="G31" s="35" t="str">
        <x:v>TERSEDIA</x:v>
      </x:c>
      <x:c r="H31" s="31" t="str">
        <x:v>P1</x:v>
      </x:c>
      <x:c r="I31" s="31" t="str">
        <x:v>Profil, Layanan, Pengalaman</x:v>
      </x:c>
      <x:c r="J31" s="31" t="str">
        <x:v>Butuh scope, bukti, batas, dan follow-up.</x:v>
      </x:c>
    </x:row>
    <x:row r="32" ht="23">
      <x:c r="A32" s="31" t="str">
        <x:v>I-028</x:v>
      </x:c>
      <x:c r="B32" s="31" t="str">
        <x:v>Target pengguna</x:v>
      </x:c>
      <x:c r="C32" s="31" t="str">
        <x:v>Investor dan tim internasional</x:v>
      </x:c>
      <x:c r="D32" s="31" t="str">
        <x:v>Mendukung pembeli internasional</x:v>
      </x:c>
      <x:c r="E32" s="31" t="str">
        <x:v>International teams</x:v>
      </x:c>
      <x:c r="F32" s="31" t="str">
        <x:v>Brand p.4; Discovery 1.4, 5.6</x:v>
      </x:c>
      <x:c r="G32" s="35" t="str">
        <x:v>TERSEDIA</x:v>
      </x:c>
      <x:c r="H32" s="31" t="str">
        <x:v>P1</x:v>
      </x:c>
      <x:c r="I32" s="31" t="str">
        <x:v>Semua halaman EN</x:v>
      </x:c>
      <x:c r="J32" s="31" t="str">
        <x:v>Butuh orientasi Inggris dan istilah Indonesia resmi.</x:v>
      </x:c>
    </x:row>
    <x:row r="33" ht="23">
      <x:c r="A33" s="31" t="str">
        <x:v>I-029</x:v>
      </x:c>
      <x:c r="B33" s="31" t="str">
        <x:v>Situasi pengguna</x:v>
      </x:c>
      <x:c r="C33" s="31" t="str">
        <x:v>Establishing, expanding, regularising, maintaining operations</x:v>
      </x:c>
      <x:c r="D33" s="31" t="str">
        <x:v>Segmentasi berdasarkan momen kebutuhan</x:v>
      </x:c>
      <x:c r="E33" s="31" t="str">
        <x:v>Growth situations</x:v>
      </x:c>
      <x:c r="F33" s="31" t="str">
        <x:v>Brand p.4; Discovery 2.3</x:v>
      </x:c>
      <x:c r="G33" s="35" t="str">
        <x:v>TERSEDIA</x:v>
      </x:c>
      <x:c r="H33" s="31" t="str">
        <x:v>P1</x:v>
      </x:c>
      <x:c r="I33" s="31" t="str">
        <x:v>Home, Layanan</x:v>
      </x:c>
      <x:c r="J33" s="31" t="str">
        <x:v>Dapat menjadi entry paths ke layanan.</x:v>
      </x:c>
    </x:row>
    <x:row r="34" ht="23">
      <x:c r="A34" s="31" t="str">
        <x:v>I-030</x:v>
      </x:c>
      <x:c r="B34" s="31" t="str">
        <x:v>Buying committee</x:v>
      </x:c>
      <x:c r="C34" s="31" t="str">
        <x:v>Pengguna, pencari vendor, influencer, final approver</x:v>
      </x:c>
      <x:c r="D34" s="31" t="str">
        <x:v>Menyesuaikan informasi keputusan</x:v>
      </x:c>
      <x:c r="E34" s="31" t="str">
        <x:v>Multi-role</x:v>
      </x:c>
      <x:c r="F34" s="31" t="str">
        <x:v>Discovery 2.2</x:v>
      </x:c>
      <x:c r="G34" s="35" t="str">
        <x:v>TERSEDIA</x:v>
      </x:c>
      <x:c r="H34" s="31" t="str">
        <x:v>P2</x:v>
      </x:c>
      <x:c r="I34" s="31" t="str">
        <x:v>Profil, Layanan, Pengalaman</x:v>
      </x:c>
      <x:c r="J34" s="31" t="str">
        <x:v>Informasi biaya/timeline masih tidak tersedia.</x:v>
      </x:c>
    </x:row>
    <x:row r="35" ht="23">
      <x:c r="A35" s="31" t="str">
        <x:v>I-031</x:v>
      </x:c>
      <x:c r="B35" s="31" t="str">
        <x:v>Trigger</x:v>
      </x:c>
      <x:c r="C35" s="31" t="str">
        <x:v>Pendirian, perubahan kegiatan, OSS/KBLI, izin sektoral, ekspansi, compliance</x:v>
      </x:c>
      <x:c r="D35" s="31" t="str">
        <x:v>Menjawab kapan perlu bantuan</x:v>
      </x:c>
      <x:c r="E35" s="31" t="str">
        <x:v>Prospek</x:v>
      </x:c>
      <x:c r="F35" s="31" t="str">
        <x:v>Discovery 2.3</x:v>
      </x:c>
      <x:c r="G35" s="35" t="str">
        <x:v>TERSEDIA</x:v>
      </x:c>
      <x:c r="H35" s="31" t="str">
        <x:v>P1</x:v>
      </x:c>
      <x:c r="I35" s="31" t="str">
        <x:v>Home, Layanan, FAQ</x:v>
      </x:c>
      <x:c r="J35" s="31" t="str">
        <x:v>Dasar pengelompokan layanan.</x:v>
      </x:c>
    </x:row>
    <x:row r="36" ht="23">
      <x:c r="A36" s="31" t="str">
        <x:v>I-032</x:v>
      </x:c>
      <x:c r="B36" s="31" t="str">
        <x:v>Masalah pengguna</x:v>
      </x:c>
      <x:c r="C36" s="31" t="str">
        <x:v>Jalur izin tidak jelas; data legal-operasional tidak selaras; kewajiban pascaizin tidak dipantau</x:v>
      </x:c>
      <x:c r="D36" s="31" t="str">
        <x:v>Menunjukkan problem relevance</x:v>
      </x:c>
      <x:c r="E36" s="31" t="str">
        <x:v>Prospek</x:v>
      </x:c>
      <x:c r="F36" s="31" t="str">
        <x:v>Discovery 2.4</x:v>
      </x:c>
      <x:c r="G36" s="35" t="str">
        <x:v>TERSEDIA</x:v>
      </x:c>
      <x:c r="H36" s="31" t="str">
        <x:v>P1</x:v>
      </x:c>
      <x:c r="I36" s="31" t="str">
        <x:v>Home, service details</x:v>
      </x:c>
      <x:c r="J36" s="31" t="str">
        <x:v>Harus dihubungkan dengan next step, bukan fear messaging.</x:v>
      </x:c>
    </x:row>
    <x:row r="37">
      <x:c r="A37" s="31" t="str">
        <x:v>I-033</x:v>
      </x:c>
      <x:c r="B37" s="31" t="str">
        <x:v>Keraguan &amp; trust</x:v>
      </x:c>
      <x:c r="C37" s="31" t="str">
        <x:v>Kompetensi, kejelasan proses/biaya, jaminan hasil</x:v>
      </x:c>
      <x:c r="D37" s="31" t="str">
        <x:v>Mengurangi friction</x:v>
      </x:c>
      <x:c r="E37" s="31" t="str">
        <x:v>Decision-maker</x:v>
      </x:c>
      <x:c r="F37" s="31" t="str">
        <x:v>Discovery 2.5-2.7</x:v>
      </x:c>
      <x:c r="G37" s="35" t="str">
        <x:v>TERSEDIA</x:v>
      </x:c>
      <x:c r="H37" s="31" t="str">
        <x:v>P1</x:v>
      </x:c>
      <x:c r="I37" s="31" t="str">
        <x:v>Profil, Pengalaman, FAQ</x:v>
      </x:c>
      <x:c r="J37" s="31" t="str">
        <x:v>Bukti nyata masih kurang.</x:v>
      </x:c>
    </x:row>
    <x:row r="38" ht="23">
      <x:c r="A38" s="31" t="str">
        <x:v>I-034</x:v>
      </x:c>
      <x:c r="B38" s="31" t="str">
        <x:v>Layanan</x:v>
      </x:c>
      <x:c r="C38" s="31" t="str">
        <x:v>Overview empat kategori layanan aktif</x:v>
      </x:c>
      <x:c r="D38" s="31" t="str">
        <x:v>Membantu pemilihan</x:v>
      </x:c>
      <x:c r="E38" s="31" t="str">
        <x:v>Semua prospek</x:v>
      </x:c>
      <x:c r="F38" s="31" t="str">
        <x:v>Discovery 1.2</x:v>
      </x:c>
      <x:c r="G38" s="35" t="str">
        <x:v>TERSEDIA</x:v>
      </x:c>
      <x:c r="H38" s="31" t="str">
        <x:v>P1</x:v>
      </x:c>
      <x:c r="I38" s="31" t="str">
        <x:v>Layanan</x:v>
      </x:c>
      <x:c r="J38" s="31" t="str">
        <x:v>Scope utama harus tetap empat kategori sampai disetujui.</x:v>
      </x:c>
    </x:row>
    <x:row r="39">
      <x:c r="A39" s="31" t="str">
        <x:v>I-035</x:v>
      </x:c>
      <x:c r="B39" s="31" t="str">
        <x:v>Layanan</x:v>
      </x:c>
      <x:c r="C39" s="31" t="str">
        <x:v>Pendirian &amp; Legalitas Usaha</x:v>
      </x:c>
      <x:c r="D39" s="31" t="str">
        <x:v>Menjelaskan layanan prioritas</x:v>
      </x:c>
      <x:c r="E39" s="31" t="str">
        <x:v>Founder/investor</x:v>
      </x:c>
      <x:c r="F39" s="31" t="str">
        <x:v>Discovery 1.2</x:v>
      </x:c>
      <x:c r="G39" s="35" t="str">
        <x:v>TERSEDIA</x:v>
      </x:c>
      <x:c r="H39" s="31" t="str">
        <x:v>P1</x:v>
      </x:c>
      <x:c r="I39" s="31" t="str">
        <x:v>Detail layanan</x:v>
      </x:c>
      <x:c r="J39" s="31" t="str">
        <x:v>Scope dasar tersedia.</x:v>
      </x:c>
    </x:row>
    <x:row r="40" ht="23">
      <x:c r="A40" s="31" t="str">
        <x:v>I-036</x:v>
      </x:c>
      <x:c r="B40" s="31" t="str">
        <x:v>Sub-layanan</x:v>
      </x:c>
      <x:c r="C40" s="31" t="str">
        <x:v>Badan usaha, dokumen korporasi, NIB, fondasi legal operasional</x:v>
      </x:c>
      <x:c r="D40" s="31" t="str">
        <x:v>Menjelaskan cakupan awal</x:v>
      </x:c>
      <x:c r="E40" s="31" t="str">
        <x:v>Founder/investor</x:v>
      </x:c>
      <x:c r="F40" s="31" t="str">
        <x:v>Discovery 1.2; Audit p.3</x:v>
      </x:c>
      <x:c r="G40" s="31" t="str">
        <x:v>SEBAGIAN</x:v>
      </x:c>
      <x:c r="H40" s="31" t="str">
        <x:v>P1</x:v>
      </x:c>
      <x:c r="I40" s="31" t="str">
        <x:v>Detail Pendirian</x:v>
      </x:c>
      <x:c r="J40" s="31" t="str">
        <x:v>Daftar final bentuk badan usaha dan deliverable perlu dikonfirmasi.</x:v>
      </x:c>
    </x:row>
    <x:row r="41" ht="23">
      <x:c r="A41" s="31" t="str">
        <x:v>I-037</x:v>
      </x:c>
      <x:c r="B41" s="31" t="str">
        <x:v>Layanan</x:v>
      </x:c>
      <x:c r="C41" s="31" t="str">
        <x:v>Perizinan Berbasis Risiko &amp; Sektoral</x:v>
      </x:c>
      <x:c r="D41" s="31" t="str">
        <x:v>Menjelaskan layanan prioritas</x:v>
      </x:c>
      <x:c r="E41" s="31" t="str">
        <x:v>Operations/legal</x:v>
      </x:c>
      <x:c r="F41" s="31" t="str">
        <x:v>Discovery 1.2</x:v>
      </x:c>
      <x:c r="G41" s="35" t="str">
        <x:v>TERSEDIA</x:v>
      </x:c>
      <x:c r="H41" s="31" t="str">
        <x:v>P1</x:v>
      </x:c>
      <x:c r="I41" s="31" t="str">
        <x:v>Detail layanan</x:v>
      </x:c>
      <x:c r="J41" s="31" t="str">
        <x:v>Judul diperjelas agar OSS-RBA dan izin sektoral sama-sama terbaca.</x:v>
      </x:c>
    </x:row>
    <x:row r="42" ht="23">
      <x:c r="A42" s="31" t="str">
        <x:v>I-038</x:v>
      </x:c>
      <x:c r="B42" s="31" t="str">
        <x:v>Sub-layanan</x:v>
      </x:c>
      <x:c r="C42" s="31" t="str">
        <x:v>KBLI, risk level, OSS-RBA, Sertifikat Standar/Izin, PB UMKU, izin sektoral</x:v>
      </x:c>
      <x:c r="D42" s="31" t="str">
        <x:v>Menjawab jalur izin</x:v>
      </x:c>
      <x:c r="E42" s="31" t="str">
        <x:v>Operations/legal</x:v>
      </x:c>
      <x:c r="F42" s="31" t="str">
        <x:v>Discovery 1.2; Audit p.2-5</x:v>
      </x:c>
      <x:c r="G42" s="31" t="str">
        <x:v>SEBAGIAN</x:v>
      </x:c>
      <x:c r="H42" s="31" t="str">
        <x:v>P1</x:v>
      </x:c>
      <x:c r="I42" s="31" t="str">
        <x:v>Detail Perizinan</x:v>
      </x:c>
      <x:c r="J42" s="31" t="str">
        <x:v>Coverage sektoral aktual harus divalidasi per sektor.</x:v>
      </x:c>
    </x:row>
    <x:row r="43" ht="23">
      <x:c r="A43" s="31" t="str">
        <x:v>I-039</x:v>
      </x:c>
      <x:c r="B43" s="31" t="str">
        <x:v>Layanan</x:v>
      </x:c>
      <x:c r="C43" s="31" t="str">
        <x:v>Kepatuhan &amp; Legal Advisory</x:v>
      </x:c>
      <x:c r="D43" s="31" t="str">
        <x:v>Menjelaskan dukungan pascaizin</x:v>
      </x:c>
      <x:c r="E43" s="31" t="str">
        <x:v>Legal/compliance</x:v>
      </x:c>
      <x:c r="F43" s="31" t="str">
        <x:v>Discovery 1.2</x:v>
      </x:c>
      <x:c r="G43" s="35" t="str">
        <x:v>TERSEDIA</x:v>
      </x:c>
      <x:c r="H43" s="31" t="str">
        <x:v>P1</x:v>
      </x:c>
      <x:c r="I43" s="31" t="str">
        <x:v>Detail layanan</x:v>
      </x:c>
      <x:c r="J43" s="31" t="str">
        <x:v>Harus tetap mendukung permit/compliance, bukan konsultasi hukum generik.</x:v>
      </x:c>
    </x:row>
    <x:row r="44" ht="23">
      <x:c r="A44" s="31" t="str">
        <x:v>I-040</x:v>
      </x:c>
      <x:c r="B44" s="31" t="str">
        <x:v>Sub-layanan</x:v>
      </x:c>
      <x:c r="C44" s="31" t="str">
        <x:v>Review kepatuhan, risiko regulasi, audit izin, kalender kewajiban, legal support</x:v>
      </x:c>
      <x:c r="D44" s="31" t="str">
        <x:v>Membangun recurring service path</x:v>
      </x:c>
      <x:c r="E44" s="31" t="str">
        <x:v>Legal/compliance</x:v>
      </x:c>
      <x:c r="F44" s="31" t="str">
        <x:v>Discovery 1.2, 3.4; Audit p.7-8</x:v>
      </x:c>
      <x:c r="G44" s="31" t="str">
        <x:v>SEBAGIAN</x:v>
      </x:c>
      <x:c r="H44" s="31" t="str">
        <x:v>P1</x:v>
      </x:c>
      <x:c r="I44" s="31" t="str">
        <x:v>Detail Kepatuhan</x:v>
      </x:c>
      <x:c r="J44" s="31" t="str">
        <x:v>Retainer dan item spesifik perlu disahkan.</x:v>
      </x:c>
    </x:row>
    <x:row r="45">
      <x:c r="A45" s="31" t="str">
        <x:v>I-041</x:v>
      </x:c>
      <x:c r="B45" s="31" t="str">
        <x:v>Layanan</x:v>
      </x:c>
      <x:c r="C45" s="31" t="str">
        <x:v>Perizinan Proyek &amp; Investasi</x:v>
      </x:c>
      <x:c r="D45" s="31" t="str">
        <x:v>Menjelaskan ekspansi dan proyek</x:v>
      </x:c>
      <x:c r="E45" s="31" t="str">
        <x:v>Investor/project teams</x:v>
      </x:c>
      <x:c r="F45" s="31" t="str">
        <x:v>Discovery 1.2</x:v>
      </x:c>
      <x:c r="G45" s="35" t="str">
        <x:v>TERSEDIA</x:v>
      </x:c>
      <x:c r="H45" s="31" t="str">
        <x:v>P1</x:v>
      </x:c>
      <x:c r="I45" s="31" t="str">
        <x:v>Detail layanan</x:v>
      </x:c>
      <x:c r="J45" s="31" t="str">
        <x:v>Cakupan lintas regulator perlu dibatasi.</x:v>
      </x:c>
    </x:row>
    <x:row r="46" ht="23">
      <x:c r="A46" s="31" t="str">
        <x:v>I-042</x:v>
      </x:c>
      <x:c r="B46" s="31" t="str">
        <x:v>Sub-layanan</x:v>
      </x:c>
      <x:c r="C46" s="31" t="str">
        <x:v>Koordinasi izin ekspansi/proyek/investasi; potensi tanah-lingkungan-bangunan</x:v>
      </x:c>
      <x:c r="D46" s="31" t="str">
        <x:v>Mengarahkan kebutuhan kompleks</x:v>
      </x:c>
      <x:c r="E46" s="31" t="str">
        <x:v>Project/investment</x:v>
      </x:c>
      <x:c r="F46" s="31" t="str">
        <x:v>Discovery 1.2; Audit p.7-8</x:v>
      </x:c>
      <x:c r="G46" s="31" t="str">
        <x:v>SEBAGIAN</x:v>
      </x:c>
      <x:c r="H46" s="31" t="str">
        <x:v>P1</x:v>
      </x:c>
      <x:c r="I46" s="31" t="str">
        <x:v>Detail Proyek</x:v>
      </x:c>
      <x:c r="J46" s="31" t="str">
        <x:v>Audit hanya peluang pendukung; jangan klaim coverage tanpa konfirmasi.</x:v>
      </x:c>
    </x:row>
    <x:row r="47">
      <x:c r="A47" s="31" t="str">
        <x:v>I-043</x:v>
      </x:c>
      <x:c r="B47" s="31" t="str">
        <x:v>Layanan</x:v>
      </x:c>
      <x:c r="C47" s="31" t="str">
        <x:v>Kriteria kecocokan inquiry dan batas penerimaan</x:v>
      </x:c>
      <x:c r="D47" s="31" t="str">
        <x:v>Menyaring prospek</x:v>
      </x:c>
      <x:c r="E47" s="31" t="str">
        <x:v>Prospek</x:v>
      </x:c>
      <x:c r="F47" s="31" t="str">
        <x:v>Discovery 1.10, 5.3</x:v>
      </x:c>
      <x:c r="G47" s="35" t="str">
        <x:v>TERSEDIA</x:v>
      </x:c>
      <x:c r="H47" s="31" t="str">
        <x:v>P1</x:v>
      </x:c>
      <x:c r="I47" s="31" t="str">
        <x:v>FAQ, Kontak</x:v>
      </x:c>
      <x:c r="J47" s="31" t="str">
        <x:v>Tampilkan secara ringkas dan tidak defensif.</x:v>
      </x:c>
    </x:row>
    <x:row r="48">
      <x:c r="A48" s="31" t="str">
        <x:v>I-044</x:v>
      </x:c>
      <x:c r="B48" s="31" t="str">
        <x:v>Layanan</x:v>
      </x:c>
      <x:c r="C48" s="31" t="str">
        <x:v>Deliverable per layanan</x:v>
      </x:c>
      <x:c r="D48" s="31" t="str">
        <x:v>Menyetujui scope sebelum inquiry</x:v>
      </x:c>
      <x:c r="E48" s="31" t="str">
        <x:v>Decision-maker</x:v>
      </x:c>
      <x:c r="F48" s="31" t="str">
        <x:v>Discovery 2.5, 6.6</x:v>
      </x:c>
      <x:c r="G48" s="35" t="str">
        <x:v>BELUM TERSEDIA</x:v>
      </x:c>
      <x:c r="H48" s="31" t="str">
        <x:v>P1</x:v>
      </x:c>
      <x:c r="I48" s="31" t="str">
        <x:v>Detail layanan</x:v>
      </x:c>
      <x:c r="J48" s="31" t="str">
        <x:v>Blocker untuk copy final dan proposal expectation.</x:v>
      </x:c>
    </x:row>
    <x:row r="49">
      <x:c r="A49" s="31" t="str">
        <x:v>I-045</x:v>
      </x:c>
      <x:c r="B49" s="31" t="str">
        <x:v>Layanan</x:v>
      </x:c>
      <x:c r="C49" s="31" t="str">
        <x:v>Pengecualian per layanan</x:v>
      </x:c>
      <x:c r="D49" s="31" t="str">
        <x:v>Mencegah scope ambiguity</x:v>
      </x:c>
      <x:c r="E49" s="31" t="str">
        <x:v>Decision-maker</x:v>
      </x:c>
      <x:c r="F49" s="31" t="str">
        <x:v>Discovery 2.5, 6.6</x:v>
      </x:c>
      <x:c r="G49" s="35" t="str">
        <x:v>BELUM TERSEDIA</x:v>
      </x:c>
      <x:c r="H49" s="31" t="str">
        <x:v>P1</x:v>
      </x:c>
      <x:c r="I49" s="31" t="str">
        <x:v>Detail layanan, Terms</x:v>
      </x:c>
      <x:c r="J49" s="31" t="str">
        <x:v>Perlu reviewer legal.</x:v>
      </x:c>
    </x:row>
    <x:row r="50">
      <x:c r="A50" s="31" t="str">
        <x:v>I-046</x:v>
      </x:c>
      <x:c r="B50" s="31" t="str">
        <x:v>Komersial</x:v>
      </x:c>
      <x:c r="C50" s="31" t="str">
        <x:v>Model fee, kisaran harga, dan pembayaran</x:v>
      </x:c>
      <x:c r="D50" s="31" t="str">
        <x:v>Mendukung evaluasi pembelian</x:v>
      </x:c>
      <x:c r="E50" s="31" t="str">
        <x:v>Final approver</x:v>
      </x:c>
      <x:c r="F50" s="31" t="str">
        <x:v>Discovery 1.3, 2.5</x:v>
      </x:c>
      <x:c r="G50" s="31" t="str">
        <x:v>SEBAGIAN</x:v>
      </x:c>
      <x:c r="H50" s="31" t="str">
        <x:v>P2</x:v>
      </x:c>
      <x:c r="I50" s="31" t="str">
        <x:v>FAQ/Contact</x:v>
      </x:c>
      <x:c r="J50" s="31" t="str">
        <x:v>Pola transaksi tersedia; harga tidak tersedia.</x:v>
      </x:c>
    </x:row>
    <x:row r="51" ht="23">
      <x:c r="A51" s="31" t="str">
        <x:v>I-047</x:v>
      </x:c>
      <x:c r="B51" s="31" t="str">
        <x:v>Komersial</x:v>
      </x:c>
      <x:c r="C51" s="31" t="str">
        <x:v>Estimasi waktu dan faktor ketergantungan</x:v>
      </x:c>
      <x:c r="D51" s="31" t="str">
        <x:v>Mengatur ekspektasi</x:v>
      </x:c>
      <x:c r="E51" s="31" t="str">
        <x:v>Prospek</x:v>
      </x:c>
      <x:c r="F51" s="31" t="str">
        <x:v>Discovery 2.5, 2.9, 6.2</x:v>
      </x:c>
      <x:c r="G51" s="31" t="str">
        <x:v>PERLU KONFIRMASI</x:v>
      </x:c>
      <x:c r="H51" s="31" t="str">
        <x:v>P1</x:v>
      </x:c>
      <x:c r="I51" s="31" t="str">
        <x:v>Detail layanan, FAQ</x:v>
      </x:c>
      <x:c r="J51" s="31" t="str">
        <x:v>Jangan publikasikan 3-5 hari sebagai fakta sebelum metode disahkan.</x:v>
      </x:c>
    </x:row>
    <x:row r="52" ht="23">
      <x:c r="A52" s="31" t="str">
        <x:v>I-048</x:v>
      </x:c>
      <x:c r="B52" s="31" t="str">
        <x:v>Boundary</x:v>
      </x:c>
      <x:c r="C52" s="31" t="str">
        <x:v>Keputusan hasil berada pada otoritas</x:v>
      </x:c>
      <x:c r="D52" s="31" t="str">
        <x:v>Mencegah misrepresentation</x:v>
      </x:c>
      <x:c r="E52" s="31" t="str">
        <x:v>Semua</x:v>
      </x:c>
      <x:c r="F52" s="31" t="str">
        <x:v>Discovery 2.6, 3.1; Brand p.3, p.8</x:v>
      </x:c>
      <x:c r="G52" s="35" t="str">
        <x:v>TERSEDIA</x:v>
      </x:c>
      <x:c r="H52" s="31" t="str">
        <x:v>P1</x:v>
      </x:c>
      <x:c r="I52" s="31" t="str">
        <x:v>Semua service, FAQ, Terms</x:v>
      </x:c>
      <x:c r="J52" s="31" t="str">
        <x:v>Harus konsisten.</x:v>
      </x:c>
    </x:row>
    <x:row r="53" ht="23">
      <x:c r="A53" s="31" t="str">
        <x:v>I-049</x:v>
      </x:c>
      <x:c r="B53" s="31" t="str">
        <x:v>Proses</x:v>
      </x:c>
      <x:c r="C53" s="31" t="str">
        <x:v>Assess, map, prepare, coordinate, monitor, follow up</x:v>
      </x:c>
      <x:c r="D53" s="31" t="str">
        <x:v>Menjelaskan pendekatan</x:v>
      </x:c>
      <x:c r="E53" s="31" t="str">
        <x:v>Semua</x:v>
      </x:c>
      <x:c r="F53" s="31" t="str">
        <x:v>Brand p.5</x:v>
      </x:c>
      <x:c r="G53" s="35" t="str">
        <x:v>TERSEDIA</x:v>
      </x:c>
      <x:c r="H53" s="31" t="str">
        <x:v>P1</x:v>
      </x:c>
      <x:c r="I53" s="31" t="str">
        <x:v>Home, Layanan, service details</x:v>
      </x:c>
      <x:c r="J53" s="31" t="str">
        <x:v>Narrative utama proses.</x:v>
      </x:c>
    </x:row>
    <x:row r="54" ht="23">
      <x:c r="A54" s="31" t="str">
        <x:v>I-050</x:v>
      </x:c>
      <x:c r="B54" s="31" t="str">
        <x:v>Proses</x:v>
      </x:c>
      <x:c r="C54" s="31" t="str">
        <x:v>Input asesmen: kegiatan, lokasi, KBLI, dokumen, target waktu</x:v>
      </x:c>
      <x:c r="D54" s="31" t="str">
        <x:v>Memperbaiki kualitas inquiry</x:v>
      </x:c>
      <x:c r="E54" s="31" t="str">
        <x:v>Prospek</x:v>
      </x:c>
      <x:c r="F54" s="31" t="str">
        <x:v>Discovery 5.2-5.3; Audit p.9</x:v>
      </x:c>
      <x:c r="G54" s="35" t="str">
        <x:v>TERSEDIA</x:v>
      </x:c>
      <x:c r="H54" s="31" t="str">
        <x:v>P1</x:v>
      </x:c>
      <x:c r="I54" s="31" t="str">
        <x:v>Kontak, FAQ</x:v>
      </x:c>
      <x:c r="J54" s="31" t="str">
        <x:v>Jangan meminta data sensitif pada form awal.</x:v>
      </x:c>
    </x:row>
    <x:row r="55">
      <x:c r="A55" s="31" t="str">
        <x:v>I-051</x:v>
      </x:c>
      <x:c r="B55" s="31" t="str">
        <x:v>Proses</x:v>
      </x:c>
      <x:c r="C55" s="31" t="str">
        <x:v>SOP komunikasi progres dan contoh status</x:v>
      </x:c>
      <x:c r="D55" s="31" t="str">
        <x:v>Membuktikan transparansi</x:v>
      </x:c>
      <x:c r="E55" s="31" t="str">
        <x:v>Klien/prospek</x:v>
      </x:c>
      <x:c r="F55" s="31" t="str">
        <x:v>Discovery 3.3-3.5</x:v>
      </x:c>
      <x:c r="G55" s="35" t="str">
        <x:v>BELUM TERSEDIA</x:v>
      </x:c>
      <x:c r="H55" s="31" t="str">
        <x:v>P1</x:v>
      </x:c>
      <x:c r="I55" s="31" t="str">
        <x:v>Profil, service details</x:v>
      </x:c>
      <x:c r="J55" s="31" t="str">
        <x:v>Bukti utama diferensiasi belum tersedia.</x:v>
      </x:c>
    </x:row>
    <x:row r="56" ht="23">
      <x:c r="A56" s="31" t="str">
        <x:v>I-052</x:v>
      </x:c>
      <x:c r="B56" s="31" t="str">
        <x:v>Proses</x:v>
      </x:c>
      <x:c r="C56" s="31" t="str">
        <x:v>Setelah inquiry: review, klarifikasi, konsultasi, proposal</x:v>
      </x:c>
      <x:c r="D56" s="31" t="str">
        <x:v>Menjelaskan next step</x:v>
      </x:c>
      <x:c r="E56" s="31" t="str">
        <x:v>Prospek</x:v>
      </x:c>
      <x:c r="F56" s="31" t="str">
        <x:v>Discovery 5.2</x:v>
      </x:c>
      <x:c r="G56" s="35" t="str">
        <x:v>TERSEDIA</x:v>
      </x:c>
      <x:c r="H56" s="31" t="str">
        <x:v>P1</x:v>
      </x:c>
      <x:c r="I56" s="31" t="str">
        <x:v>Kontak, Thank You</x:v>
      </x:c>
      <x:c r="J56" s="31" t="str">
        <x:v>PIC penerima perlu ditetapkan.</x:v>
      </x:c>
    </x:row>
    <x:row r="57" ht="23">
      <x:c r="A57" s="31" t="str">
        <x:v>I-053</x:v>
      </x:c>
      <x:c r="B57" s="31" t="str">
        <x:v>Proses</x:v>
      </x:c>
      <x:c r="C57" s="31" t="str">
        <x:v>Checklist dokumen awal per layanan</x:v>
      </x:c>
      <x:c r="D57" s="31" t="str">
        <x:v>Membantu kesiapan pengguna</x:v>
      </x:c>
      <x:c r="E57" s="31" t="str">
        <x:v>Prospek</x:v>
      </x:c>
      <x:c r="F57" s="31" t="str">
        <x:v>Discovery 2.9, 3.5</x:v>
      </x:c>
      <x:c r="G57" s="35" t="str">
        <x:v>BELUM TERSEDIA</x:v>
      </x:c>
      <x:c r="H57" s="31" t="str">
        <x:v>P1</x:v>
      </x:c>
      <x:c r="I57" s="31" t="str">
        <x:v>Detail layanan, FAQ</x:v>
      </x:c>
      <x:c r="J57" s="31" t="str">
        <x:v>Dibutuhkan agar halaman menjawab pertanyaan dokumen.</x:v>
      </x:c>
    </x:row>
    <x:row r="58" ht="23">
      <x:c r="A58" s="31" t="str">
        <x:v>I-054</x:v>
      </x:c>
      <x:c r="B58" s="31" t="str">
        <x:v>Proses</x:v>
      </x:c>
      <x:c r="C58" s="31" t="str">
        <x:v>Diagram alur layanan</x:v>
      </x:c>
      <x:c r="D58" s="31" t="str">
        <x:v>Mempermudah pemahaman</x:v>
      </x:c>
      <x:c r="E58" s="31" t="str">
        <x:v>Semua</x:v>
      </x:c>
      <x:c r="F58" s="31" t="str">
        <x:v>Hasil analisis dari Brand p.5</x:v>
      </x:c>
      <x:c r="G58" s="31" t="str">
        <x:v>ASUMSI SEMENTARA</x:v>
      </x:c>
      <x:c r="H58" s="31" t="str">
        <x:v>P2</x:v>
      </x:c>
      <x:c r="I58" s="31" t="str">
        <x:v>Home, Layanan</x:v>
      </x:c>
      <x:c r="J58" s="31" t="str">
        <x:v>Struktur proses ada; implementasi visual fase desain.</x:v>
      </x:c>
    </x:row>
    <x:row r="59" ht="23">
      <x:c r="A59" s="31" t="str">
        <x:v>I-055</x:v>
      </x:c>
      <x:c r="B59" s="31" t="str">
        <x:v>Kredibilitas</x:v>
      </x:c>
      <x:c r="C59" s="31" t="str">
        <x:v>Tahun berdiri operator legal: 2015</x:v>
      </x:c>
      <x:c r="D59" s="31" t="str">
        <x:v>Rekam jejak</x:v>
      </x:c>
      <x:c r="E59" s="31" t="str">
        <x:v>Decision-maker</x:v>
      </x:c>
      <x:c r="F59" s="31" t="str">
        <x:v>User decision 2026-08-05</x:v>
      </x:c>
      <x:c r="G59" s="35" t="str">
        <x:v>TERSEDIA</x:v>
      </x:c>
      <x:c r="H59" s="31" t="str">
        <x:v>P1</x:v>
      </x:c>
      <x:c r="I59" s="31" t="str">
        <x:v>Profil, Pengalaman</x:v>
      </x:c>
      <x:c r="J59" s="31" t="str">
        <x:v>Tidak memperluas menjadi klaim milestone lain tanpa bukti.</x:v>
      </x:c>
    </x:row>
    <x:row r="60">
      <x:c r="A60" s="31" t="str">
        <x:v>I-056</x:v>
      </x:c>
      <x:c r="B60" s="31" t="str">
        <x:v>Kredibilitas</x:v>
      </x:c>
      <x:c r="C60" s="31" t="str">
        <x:v>Statistik: 280 proses, 120 klien/10 sektor</x:v>
      </x:c>
      <x:c r="D60" s="31" t="str">
        <x:v>Trust metrics</x:v>
      </x:c>
      <x:c r="E60" s="31" t="str">
        <x:v>Decision-maker</x:v>
      </x:c>
      <x:c r="F60" s="31" t="str">
        <x:v>Discovery 6.2</x:v>
      </x:c>
      <x:c r="G60" s="39" t="str">
        <x:v>TIDAK BOLEH TAYANG</x:v>
      </x:c>
      <x:c r="H60" s="31" t="str">
        <x:v>P1</x:v>
      </x:c>
      <x:c r="I60" s="31" t="str">
        <x:v>Home, Pengalaman</x:v>
      </x:c>
      <x:c r="J60" s="31" t="str">
        <x:v>Angka 280 proses, 120 klien, 10 sektor belum dibuktikan.</x:v>
      </x:c>
    </x:row>
    <x:row r="61">
      <x:c r="A61" s="31" t="str">
        <x:v>I-057</x:v>
      </x:c>
      <x:c r="B61" s="31" t="str">
        <x:v>Kredibilitas</x:v>
      </x:c>
      <x:c r="C61" s="31" t="str">
        <x:v>Ukuran tim 9 orang</x:v>
      </x:c>
      <x:c r="D61" s="31" t="str">
        <x:v>Trust dan capacity</x:v>
      </x:c>
      <x:c r="E61" s="31" t="str">
        <x:v>Decision-maker</x:v>
      </x:c>
      <x:c r="F61" s="31" t="str">
        <x:v>Discovery 6.2</x:v>
      </x:c>
      <x:c r="G61" s="39" t="str">
        <x:v>TIDAK BOLEH TAYANG</x:v>
      </x:c>
      <x:c r="H61" s="31" t="str">
        <x:v>P2</x:v>
      </x:c>
      <x:c r="I61" s="31" t="str">
        <x:v>Profil</x:v>
      </x:c>
      <x:c r="J61" s="31" t="str">
        <x:v>Ukuran tim 9 belum dibuktikan; tiga profil website adalah dummy.</x:v>
      </x:c>
    </x:row>
    <x:row r="62">
      <x:c r="A62" s="31" t="str">
        <x:v>I-058</x:v>
      </x:c>
      <x:c r="B62" s="31" t="str">
        <x:v>Tim</x:v>
      </x:c>
      <x:c r="C62" s="31" t="str">
        <x:v>Nama, peran, bio, foto anggota tim</x:v>
      </x:c>
      <x:c r="D62" s="31" t="str">
        <x:v>Menilai kompetensi manusia</x:v>
      </x:c>
      <x:c r="E62" s="31" t="str">
        <x:v>Decision-maker</x:v>
      </x:c>
      <x:c r="F62" s="31" t="str">
        <x:v>Discovery 5.4, 6.1, 6.6</x:v>
      </x:c>
      <x:c r="G62" s="31" t="str">
        <x:v>SEBAGIAN</x:v>
      </x:c>
      <x:c r="H62" s="31" t="str">
        <x:v>P1</x:v>
      </x:c>
      <x:c r="I62" s="31" t="str">
        <x:v>Profil</x:v>
      </x:c>
      <x:c r="J62" s="31" t="str">
        <x:v>Profil awal ada, foto dan izin belum lengkap.</x:v>
      </x:c>
    </x:row>
    <x:row r="63">
      <x:c r="A63" s="31" t="str">
        <x:v>I-059</x:v>
      </x:c>
      <x:c r="B63" s="31" t="str">
        <x:v>Tim</x:v>
      </x:c>
      <x:c r="C63" s="31" t="str">
        <x:v>Credential pendidikan/profesi/izin</x:v>
      </x:c>
      <x:c r="D63" s="31" t="str">
        <x:v>Bukti kompetensi</x:v>
      </x:c>
      <x:c r="E63" s="31" t="str">
        <x:v>Legal/procurement</x:v>
      </x:c>
      <x:c r="F63" s="31" t="str">
        <x:v>Discovery 3.3, 6.2</x:v>
      </x:c>
      <x:c r="G63" s="35" t="str">
        <x:v>BELUM TERSEDIA</x:v>
      </x:c>
      <x:c r="H63" s="31" t="str">
        <x:v>P1</x:v>
      </x:c>
      <x:c r="I63" s="31" t="str">
        <x:v>Profil, Pengalaman</x:v>
      </x:c>
      <x:c r="J63" s="31" t="str">
        <x:v>Credential dan foto resmi belum tersedia; profil saat ini dummy high-fidelity.</x:v>
      </x:c>
    </x:row>
    <x:row r="64" ht="23">
      <x:c r="A64" s="31" t="str">
        <x:v>I-060</x:v>
      </x:c>
      <x:c r="B64" s="31" t="str">
        <x:v>Legalitas</x:v>
      </x:c>
      <x:c r="C64" s="31" t="str">
        <x:v>Registrasi dan dokumen legal perusahaan</x:v>
      </x:c>
      <x:c r="D64" s="31" t="str">
        <x:v>Bukti identitas</x:v>
      </x:c>
      <x:c r="E64" s="31" t="str">
        <x:v>Procurement</x:v>
      </x:c>
      <x:c r="F64" s="31" t="str">
        <x:v>Discovery 5.4, 6.6; Brand p.9</x:v>
      </x:c>
      <x:c r="G64" s="35" t="str">
        <x:v>BELUM TERSEDIA</x:v>
      </x:c>
      <x:c r="H64" s="31" t="str">
        <x:v>P1</x:v>
      </x:c>
      <x:c r="I64" s="31" t="str">
        <x:v>Profil, Terms</x:v>
      </x:c>
      <x:c r="J64" s="31" t="str">
        <x:v>Blocker trust dan legal notice.</x:v>
      </x:c>
    </x:row>
    <x:row r="65">
      <x:c r="A65" s="31" t="str">
        <x:v>I-061</x:v>
      </x:c>
      <x:c r="B65" s="31" t="str">
        <x:v>Pengalaman</x:v>
      </x:c>
      <x:c r="C65" s="31" t="str">
        <x:v>Daftar proyek/case study yang boleh dipublikasikan</x:v>
      </x:c>
      <x:c r="D65" s="31" t="str">
        <x:v>Bukti relevansi</x:v>
      </x:c>
      <x:c r="E65" s="31" t="str">
        <x:v>Decision-maker</x:v>
      </x:c>
      <x:c r="F65" s="31" t="str">
        <x:v>Discovery 1.5, 5.4, 6.1</x:v>
      </x:c>
      <x:c r="G65" s="35" t="str">
        <x:v>BELUM TERSEDIA</x:v>
      </x:c>
      <x:c r="H65" s="31" t="str">
        <x:v>P1</x:v>
      </x:c>
      <x:c r="I65" s="31" t="str">
        <x:v>Pengalaman</x:v>
      </x:c>
      <x:c r="J65" s="31" t="str">
        <x:v>Dapat dianonimkan jika disetujui.</x:v>
      </x:c>
    </x:row>
    <x:row r="66" ht="23">
      <x:c r="A66" s="31" t="str">
        <x:v>I-062</x:v>
      </x:c>
      <x:c r="B66" s="31" t="str">
        <x:v>Pengalaman</x:v>
      </x:c>
      <x:c r="C66" s="31" t="str">
        <x:v>Sektor yang pernah dilayani</x:v>
      </x:c>
      <x:c r="D66" s="31" t="str">
        <x:v>Membantu self-identification</x:v>
      </x:c>
      <x:c r="E66" s="31" t="str">
        <x:v>Prospek sektoral</x:v>
      </x:c>
      <x:c r="F66" s="31" t="str">
        <x:v>Discovery 6.2</x:v>
      </x:c>
      <x:c r="G66" s="31" t="str">
        <x:v>PERLU KONFIRMASI</x:v>
      </x:c>
      <x:c r="H66" s="31" t="str">
        <x:v>P2</x:v>
      </x:c>
      <x:c r="I66" s="31" t="str">
        <x:v>Pengalaman, service details</x:v>
      </x:c>
      <x:c r="J66" s="31" t="str">
        <x:v>Klaim 10 sektor belum terverifikasi.</x:v>
      </x:c>
    </x:row>
    <x:row r="67">
      <x:c r="A67" s="31" t="str">
        <x:v>I-063</x:v>
      </x:c>
      <x:c r="B67" s="31" t="str">
        <x:v>Bukti</x:v>
      </x:c>
      <x:c r="C67" s="31" t="str">
        <x:v>Testimoni</x:v>
      </x:c>
      <x:c r="D67" s="31" t="str">
        <x:v>Mengurangi keraguan</x:v>
      </x:c>
      <x:c r="E67" s="31" t="str">
        <x:v>Decision-maker</x:v>
      </x:c>
      <x:c r="F67" s="31" t="str">
        <x:v>Discovery 5.4, 6.1</x:v>
      </x:c>
      <x:c r="G67" s="35" t="str">
        <x:v>BELUM TERSEDIA</x:v>
      </x:c>
      <x:c r="H67" s="31" t="str">
        <x:v>P2</x:v>
      </x:c>
      <x:c r="I67" s="31" t="str">
        <x:v>Pengalaman</x:v>
      </x:c>
      <x:c r="J67" s="31" t="str">
        <x:v>Consent required.</x:v>
      </x:c>
    </x:row>
    <x:row r="68" ht="23">
      <x:c r="A68" s="31" t="str">
        <x:v>I-064</x:v>
      </x:c>
      <x:c r="B68" s="31" t="str">
        <x:v>Bukti</x:v>
      </x:c>
      <x:c r="C68" s="31" t="str">
        <x:v>Logo/nama klien</x:v>
      </x:c>
      <x:c r="D68" s="31" t="str">
        <x:v>Bukti sosial</x:v>
      </x:c>
      <x:c r="E68" s="31" t="str">
        <x:v>Decision-maker</x:v>
      </x:c>
      <x:c r="F68" s="31" t="str">
        <x:v>Discovery 3.6, 6.1, 6.5; Brand p.9</x:v>
      </x:c>
      <x:c r="G68" s="35" t="str">
        <x:v>BELUM TERSEDIA</x:v>
      </x:c>
      <x:c r="H68" s="31" t="str">
        <x:v>P2</x:v>
      </x:c>
      <x:c r="I68" s="31" t="str">
        <x:v>Pengalaman</x:v>
      </x:c>
      <x:c r="J68" s="31" t="str">
        <x:v>Izin tertulis wajib.</x:v>
      </x:c>
    </x:row>
    <x:row r="69">
      <x:c r="A69" s="31" t="str">
        <x:v>I-065</x:v>
      </x:c>
      <x:c r="B69" s="31" t="str">
        <x:v>Bukti</x:v>
      </x:c>
      <x:c r="C69" s="31" t="str">
        <x:v>Sertifikat, penghargaan, izin profesi</x:v>
      </x:c>
      <x:c r="D69" s="31" t="str">
        <x:v>Trust formal</x:v>
      </x:c>
      <x:c r="E69" s="31" t="str">
        <x:v>Procurement</x:v>
      </x:c>
      <x:c r="F69" s="31" t="str">
        <x:v>Discovery 5.4, 6.1</x:v>
      </x:c>
      <x:c r="G69" s="35" t="str">
        <x:v>BELUM TERSEDIA</x:v>
      </x:c>
      <x:c r="H69" s="31" t="str">
        <x:v>P2</x:v>
      </x:c>
      <x:c r="I69" s="31" t="str">
        <x:v>Profil, Pengalaman</x:v>
      </x:c>
      <x:c r="J69" s="31" t="str">
        <x:v>Jangan gunakan badge tanpa bukti.</x:v>
      </x:c>
    </x:row>
    <x:row r="70" ht="23">
      <x:c r="A70" s="31" t="str">
        <x:v>I-066</x:v>
      </x:c>
      <x:c r="B70" s="31" t="str">
        <x:v>Bukti</x:v>
      </x:c>
      <x:c r="C70" s="31" t="str">
        <x:v>Checklist, SOP review, sample progress report</x:v>
      </x:c>
      <x:c r="D70" s="31" t="str">
        <x:v>Membuktikan ketelitian dan transparansi</x:v>
      </x:c>
      <x:c r="E70" s="31" t="str">
        <x:v>Decision-maker</x:v>
      </x:c>
      <x:c r="F70" s="31" t="str">
        <x:v>Discovery 3.3-3.5</x:v>
      </x:c>
      <x:c r="G70" s="35" t="str">
        <x:v>BELUM TERSEDIA</x:v>
      </x:c>
      <x:c r="H70" s="31" t="str">
        <x:v>P1</x:v>
      </x:c>
      <x:c r="I70" s="31" t="str">
        <x:v>Profil, Pengalaman</x:v>
      </x:c>
      <x:c r="J70" s="31" t="str">
        <x:v>Bisa ditampilkan secara generik tanpa data sensitif setelah disahkan.</x:v>
      </x:c>
    </x:row>
    <x:row r="71">
      <x:c r="A71" s="31" t="str">
        <x:v>I-067</x:v>
      </x:c>
      <x:c r="B71" s="31" t="str">
        <x:v>Bukti</x:v>
      </x:c>
      <x:c r="C71" s="31" t="str">
        <x:v>Hasil proyek dan waktu penanganan terukur</x:v>
      </x:c>
      <x:c r="D71" s="31" t="str">
        <x:v>Mendukung case study</x:v>
      </x:c>
      <x:c r="E71" s="31" t="str">
        <x:v>Decision-maker</x:v>
      </x:c>
      <x:c r="F71" s="31" t="str">
        <x:v>Discovery 6.2</x:v>
      </x:c>
      <x:c r="G71" s="31" t="str">
        <x:v>PERLU KONFIRMASI</x:v>
      </x:c>
      <x:c r="H71" s="31" t="str">
        <x:v>P1</x:v>
      </x:c>
      <x:c r="I71" s="31" t="str">
        <x:v>Pengalaman</x:v>
      </x:c>
      <x:c r="J71" s="31" t="str">
        <x:v>Metodologi dan konteks wajib.</x:v>
      </x:c>
    </x:row>
    <x:row r="72" ht="23">
      <x:c r="A72" s="31" t="str">
        <x:v>I-068</x:v>
      </x:c>
      <x:c r="B72" s="31" t="str">
        <x:v>CTA</x:v>
      </x:c>
      <x:c r="C72" s="31" t="str">
        <x:v>CTA utama website: mulai asesmen/konsultasi</x:v>
      </x:c>
      <x:c r="D72" s="31" t="str">
        <x:v>Menghasilkan inquiry relevan</x:v>
      </x:c>
      <x:c r="E72" s="31" t="str">
        <x:v>Prospek siap</x:v>
      </x:c>
      <x:c r="F72" s="31" t="str">
        <x:v>Discovery 5.1-5.3; Brand p.8</x:v>
      </x:c>
      <x:c r="G72" s="35" t="str">
        <x:v>TERSEDIA</x:v>
      </x:c>
      <x:c r="H72" s="31" t="str">
        <x:v>P1</x:v>
      </x:c>
      <x:c r="I72" s="31" t="str">
        <x:v>Navbar, Home, service details</x:v>
      </x:c>
      <x:c r="J72" s="31" t="str">
        <x:v>Label tidak boleh menjanjikan hasil.</x:v>
      </x:c>
    </x:row>
    <x:row r="73" ht="23">
      <x:c r="A73" s="31" t="str">
        <x:v>I-069</x:v>
      </x:c>
      <x:c r="B73" s="31" t="str">
        <x:v>CTA</x:v>
      </x:c>
      <x:c r="C73" s="31" t="str">
        <x:v>CTA pemilihan layanan dan related service</x:v>
      </x:c>
      <x:c r="D73" s="31" t="str">
        <x:v>Melanjutkan orientasi</x:v>
      </x:c>
      <x:c r="E73" s="31" t="str">
        <x:v>Prospek belum siap</x:v>
      </x:c>
      <x:c r="F73" s="31" t="str">
        <x:v>Hasil analisis; Module p.15</x:v>
      </x:c>
      <x:c r="G73" s="31" t="str">
        <x:v>ASUMSI SEMENTARA</x:v>
      </x:c>
      <x:c r="H73" s="31" t="str">
        <x:v>P1</x:v>
      </x:c>
      <x:c r="I73" s="31" t="str">
        <x:v>Home, Layanan, Insight</x:v>
      </x:c>
      <x:c r="J73" s="31" t="str">
        <x:v>Diperlukan agar tidak ada dead end.</x:v>
      </x:c>
    </x:row>
    <x:row r="74" ht="23">
      <x:c r="A74" s="31" t="str">
        <x:v>I-070</x:v>
      </x:c>
      <x:c r="B74" s="31" t="str">
        <x:v>Form</x:v>
      </x:c>
      <x:c r="C74" s="31" t="str">
        <x:v>Nama/organisasi, layanan, aktivitas, lokasi, target waktu, pesan</x:v>
      </x:c>
      <x:c r="D74" s="31" t="str">
        <x:v>Kualifikasi inquiry awal</x:v>
      </x:c>
      <x:c r="E74" s="31" t="str">
        <x:v>Prospek</x:v>
      </x:c>
      <x:c r="F74" s="31" t="str">
        <x:v>Discovery 5.2-5.3</x:v>
      </x:c>
      <x:c r="G74" s="35" t="str">
        <x:v>TERSEDIA</x:v>
      </x:c>
      <x:c r="H74" s="31" t="str">
        <x:v>P1</x:v>
      </x:c>
      <x:c r="I74" s="31" t="str">
        <x:v>Kontak</x:v>
      </x:c>
      <x:c r="J74" s="31" t="str">
        <x:v>Dokumen hanya yang aman dibagikan; upload tidak dalam scope.</x:v>
      </x:c>
    </x:row>
    <x:row r="75">
      <x:c r="A75" s="31" t="str">
        <x:v>I-071</x:v>
      </x:c>
      <x:c r="B75" s="31" t="str">
        <x:v>Form</x:v>
      </x:c>
      <x:c r="C75" s="31" t="str">
        <x:v>Consent dan penjelasan penggunaan data</x:v>
      </x:c>
      <x:c r="D75" s="31" t="str">
        <x:v>Kepatuhan data</x:v>
      </x:c>
      <x:c r="E75" s="31" t="str">
        <x:v>Prospek</x:v>
      </x:c>
      <x:c r="F75" s="31" t="str">
        <x:v>Brand p.21; Discovery 6.5</x:v>
      </x:c>
      <x:c r="G75" s="35" t="str">
        <x:v>BELUM TERSEDIA</x:v>
      </x:c>
      <x:c r="H75" s="31" t="str">
        <x:v>P1</x:v>
      </x:c>
      <x:c r="I75" s="31" t="str">
        <x:v>Kontak, Privacy</x:v>
      </x:c>
      <x:c r="J75" s="31" t="str">
        <x:v>Privacy policy harus selesai sebelum form publik.</x:v>
      </x:c>
    </x:row>
    <x:row r="76">
      <x:c r="A76" s="31" t="str">
        <x:v>I-072</x:v>
      </x:c>
      <x:c r="B76" s="31" t="str">
        <x:v>Kanal</x:v>
      </x:c>
      <x:c r="C76" s="31" t="str">
        <x:v>WhatsApp publik</x:v>
      </x:c>
      <x:c r="D76" s="31" t="str">
        <x:v>Alternatif komunikasi cepat</x:v>
      </x:c>
      <x:c r="E76" s="31" t="str">
        <x:v>Prospek</x:v>
      </x:c>
      <x:c r="F76" s="31" t="str">
        <x:v>Discovery 5.2, 5.9</x:v>
      </x:c>
      <x:c r="G76" s="31" t="str">
        <x:v>PERLU KONFIRMASI</x:v>
      </x:c>
      <x:c r="H76" s="31" t="str">
        <x:v>P1</x:v>
      </x:c>
      <x:c r="I76" s="31" t="str">
        <x:v>Navbar/contact</x:v>
      </x:c>
      <x:c r="J76" s="31" t="str">
        <x:v>Nomor dan template pesan perlu disahkan.</x:v>
      </x:c>
    </x:row>
    <x:row r="77">
      <x:c r="A77" s="31" t="str">
        <x:v>I-073</x:v>
      </x:c>
      <x:c r="B77" s="31" t="str">
        <x:v>Kanal</x:v>
      </x:c>
      <x:c r="C77" s="31" t="str">
        <x:v>Email penerima inquiry CONTACT_TO_EMAIL</x:v>
      </x:c>
      <x:c r="D77" s="31" t="str">
        <x:v>Routing internal</x:v>
      </x:c>
      <x:c r="E77" s="31" t="str">
        <x:v>Internal/prospek</x:v>
      </x:c>
      <x:c r="F77" s="31" t="str">
        <x:v>Discovery 5.9</x:v>
      </x:c>
      <x:c r="G77" s="31" t="str">
        <x:v>PERLU KONFIRMASI</x:v>
      </x:c>
      <x:c r="H77" s="31" t="str">
        <x:v>P1</x:v>
      </x:c>
      <x:c r="I77" s="31" t="str">
        <x:v>Kontak</x:v>
      </x:c>
      <x:c r="J77" s="31" t="str">
        <x:v>Alamat final belum disebut.</x:v>
      </x:c>
    </x:row>
    <x:row r="78">
      <x:c r="A78" s="31" t="str">
        <x:v>I-074</x:v>
      </x:c>
      <x:c r="B78" s="31" t="str">
        <x:v>Operasional</x:v>
      </x:c>
      <x:c r="C78" s="31" t="str">
        <x:v>Respons normal maksimal satu hari kerja</x:v>
      </x:c>
      <x:c r="D78" s="31" t="str">
        <x:v>Ekspektasi lead</x:v>
      </x:c>
      <x:c r="E78" s="31" t="str">
        <x:v>Prospek</x:v>
      </x:c>
      <x:c r="F78" s="31" t="str">
        <x:v>Discovery 5.2</x:v>
      </x:c>
      <x:c r="G78" s="31" t="str">
        <x:v>PERLU KONFIRMASI</x:v>
      </x:c>
      <x:c r="H78" s="31" t="str">
        <x:v>P2</x:v>
      </x:c>
      <x:c r="I78" s="31" t="str">
        <x:v>Contact, FAQ</x:v>
      </x:c>
      <x:c r="J78" s="31" t="str">
        <x:v>Harus sesuai kapasitas operasional.</x:v>
      </x:c>
    </x:row>
    <x:row r="79" ht="23">
      <x:c r="A79" s="31" t="str">
        <x:v>I-075</x:v>
      </x:c>
      <x:c r="B79" s="31" t="str">
        <x:v>Analytics</x:v>
      </x:c>
      <x:c r="C79" s="31" t="str">
        <x:v>Klik WhatsApp, form, quotation, organic traffic, qualified leads</x:v>
      </x:c>
      <x:c r="D79" s="31" t="str">
        <x:v>Pengukuran keberhasilan</x:v>
      </x:c>
      <x:c r="E79" s="31" t="str">
        <x:v>Internal</x:v>
      </x:c>
      <x:c r="F79" s="31" t="str">
        <x:v>Discovery 5.10</x:v>
      </x:c>
      <x:c r="G79" s="35" t="str">
        <x:v>TERSEDIA</x:v>
      </x:c>
      <x:c r="H79" s="31" t="str">
        <x:v>P2</x:v>
      </x:c>
      <x:c r="I79" s="31" t="str">
        <x:v>Analytics plan</x:v>
      </x:c>
      <x:c r="J79" s="31" t="str">
        <x:v>Implementasi analytics di luar aktivitas ini.</x:v>
      </x:c>
    </x:row>
    <x:row r="80" ht="23">
      <x:c r="A80" s="31" t="str">
        <x:v>I-076</x:v>
      </x:c>
      <x:c r="B80" s="31" t="str">
        <x:v>FAQ</x:v>
      </x:c>
      <x:c r="C80" s="31" t="str">
        <x:v>Pertanyaan layanan, KBLI, dokumen, waktu, jaminan, proses</x:v>
      </x:c>
      <x:c r="D80" s="31" t="str">
        <x:v>Mengurangi pertanyaan awal</x:v>
      </x:c>
      <x:c r="E80" s="31" t="str">
        <x:v>Prospek</x:v>
      </x:c>
      <x:c r="F80" s="31" t="str">
        <x:v>Discovery 2.9; 5.4</x:v>
      </x:c>
      <x:c r="G80" s="31" t="str">
        <x:v>SEBAGIAN</x:v>
      </x:c>
      <x:c r="H80" s="31" t="str">
        <x:v>P1</x:v>
      </x:c>
      <x:c r="I80" s="31" t="str">
        <x:v>FAQ, service details</x:v>
      </x:c>
      <x:c r="J80" s="31" t="str">
        <x:v>Jawaban final legal perlu review.</x:v>
      </x:c>
    </x:row>
    <x:row r="81" ht="23">
      <x:c r="A81" s="31" t="str">
        <x:v>I-077</x:v>
      </x:c>
      <x:c r="B81" s="31" t="str">
        <x:v>Insight</x:v>
      </x:c>
      <x:c r="C81" s="31" t="str">
        <x:v>Topik regulasi bilingual yang relevan</x:v>
      </x:c>
      <x:c r="D81" s="31" t="str">
        <x:v>Edukasi dan trust</x:v>
      </x:c>
      <x:c r="E81" s="31" t="str">
        <x:v>Prospek informasional</x:v>
      </x:c>
      <x:c r="F81" s="31" t="str">
        <x:v>Discovery 5.4, 5.11; Audit p.9</x:v>
      </x:c>
      <x:c r="G81" s="31" t="str">
        <x:v>SEBAGIAN</x:v>
      </x:c>
      <x:c r="H81" s="31" t="str">
        <x:v>P2</x:v>
      </x:c>
      <x:c r="I81" s="31" t="str">
        <x:v>Insight</x:v>
      </x:c>
      <x:c r="J81" s="31" t="str">
        <x:v>Topik audit hanya rekomendasi pendukung.</x:v>
      </x:c>
    </x:row>
    <x:row r="82" ht="23">
      <x:c r="A82" s="31" t="str">
        <x:v>I-078</x:v>
      </x:c>
      <x:c r="B82" s="31" t="str">
        <x:v>Governance</x:v>
      </x:c>
      <x:c r="C82" s="31" t="str">
        <x:v>Author/reviewer, tanggal review, sumber hukum artikel</x:v>
      </x:c>
      <x:c r="D82" s="31" t="str">
        <x:v>Menjaga integritas artikel</x:v>
      </x:c>
      <x:c r="E82" s="31" t="str">
        <x:v>Pembaca/internal</x:v>
      </x:c>
      <x:c r="F82" s="31" t="str">
        <x:v>Brand p.21; Discovery 3.6</x:v>
      </x:c>
      <x:c r="G82" s="35" t="str">
        <x:v>BELUM TERSEDIA</x:v>
      </x:c>
      <x:c r="H82" s="31" t="str">
        <x:v>P1</x:v>
      </x:c>
      <x:c r="I82" s="31" t="str">
        <x:v>Article detail</x:v>
      </x:c>
      <x:c r="J82" s="31" t="str">
        <x:v>Wajib sebelum publikasi artikel hukum.</x:v>
      </x:c>
    </x:row>
    <x:row r="83">
      <x:c r="A83" s="31" t="str">
        <x:v>I-079</x:v>
      </x:c>
      <x:c r="B83" s="31" t="str">
        <x:v>Content ops</x:v>
      </x:c>
      <x:c r="C83" s="31" t="str">
        <x:v>Frekuensi artikel tiap tiga minggu dan content owner</x:v>
      </x:c>
      <x:c r="D83" s="31" t="str">
        <x:v>Konsistensi pengelolaan</x:v>
      </x:c>
      <x:c r="E83" s="31" t="str">
        <x:v>Internal</x:v>
      </x:c>
      <x:c r="F83" s="31" t="str">
        <x:v>Discovery 5.11</x:v>
      </x:c>
      <x:c r="G83" s="35" t="str">
        <x:v>TERSEDIA</x:v>
      </x:c>
      <x:c r="H83" s="31" t="str">
        <x:v>P2</x:v>
      </x:c>
      <x:c r="I83" s="31" t="str">
        <x:v>Insight</x:v>
      </x:c>
      <x:c r="J83" s="31" t="str">
        <x:v>Nama content owner belum ditetapkan.</x:v>
      </x:c>
    </x:row>
    <x:row r="84">
      <x:c r="A84" s="31" t="str">
        <x:v>I-080</x:v>
      </x:c>
      <x:c r="B84" s="31" t="str">
        <x:v>Findability</x:v>
      </x:c>
      <x:c r="C84" s="31" t="str">
        <x:v>Istilah layanan dan pencarian prioritas</x:v>
      </x:c>
      <x:c r="D84" s="31" t="str">
        <x:v>Membantu label dan information scent</x:v>
      </x:c>
      <x:c r="E84" s="31" t="str">
        <x:v>Prospek search</x:v>
      </x:c>
      <x:c r="F84" s="31" t="str">
        <x:v>Discovery 5.7</x:v>
      </x:c>
      <x:c r="G84" s="35" t="str">
        <x:v>TERSEDIA</x:v>
      </x:c>
      <x:c r="H84" s="31" t="str">
        <x:v>P2</x:v>
      </x:c>
      <x:c r="I84" s="31" t="str">
        <x:v>Layanan, Insight</x:v>
      </x:c>
      <x:c r="J84" s="31" t="str">
        <x:v>Bukan keyword research atau SEO implementation.</x:v>
      </x:c>
    </x:row>
    <x:row r="85">
      <x:c r="A85" s="31" t="str">
        <x:v>I-081</x:v>
      </x:c>
      <x:c r="B85" s="31" t="str">
        <x:v>Legal</x:v>
      </x:c>
      <x:c r="C85" s="31" t="str">
        <x:v>Kebijakan Privasi</x:v>
      </x:c>
      <x:c r="D85" s="31" t="str">
        <x:v>Menjelaskan pemrosesan data form</x:v>
      </x:c>
      <x:c r="E85" s="31" t="str">
        <x:v>Prospek</x:v>
      </x:c>
      <x:c r="F85" s="31" t="str">
        <x:v>Discovery 6.6; Brand p.21</x:v>
      </x:c>
      <x:c r="G85" s="35" t="str">
        <x:v>BELUM TERSEDIA</x:v>
      </x:c>
      <x:c r="H85" s="31" t="str">
        <x:v>P1</x:v>
      </x:c>
      <x:c r="I85" s="31" t="str">
        <x:v>Privacy</x:v>
      </x:c>
      <x:c r="J85" s="31" t="str">
        <x:v>Harus disusun dan disahkan.</x:v>
      </x:c>
    </x:row>
    <x:row r="86">
      <x:c r="A86" s="31" t="str">
        <x:v>I-082</x:v>
      </x:c>
      <x:c r="B86" s="31" t="str">
        <x:v>Legal</x:v>
      </x:c>
      <x:c r="C86" s="31" t="str">
        <x:v>Ketentuan Penggunaan dan batas tanggung jawab</x:v>
      </x:c>
      <x:c r="D86" s="31" t="str">
        <x:v>Menetapkan terms website</x:v>
      </x:c>
      <x:c r="E86" s="31" t="str">
        <x:v>Semua</x:v>
      </x:c>
      <x:c r="F86" s="31" t="str">
        <x:v>Discovery 6.6; Brand p.8</x:v>
      </x:c>
      <x:c r="G86" s="35" t="str">
        <x:v>BELUM TERSEDIA</x:v>
      </x:c>
      <x:c r="H86" s="31" t="str">
        <x:v>P1</x:v>
      </x:c>
      <x:c r="I86" s="31" t="str">
        <x:v>Terms &amp; Disclaimer</x:v>
      </x:c>
      <x:c r="J86" s="31" t="str">
        <x:v>Disclaimer dasar tersedia, terms belum.</x:v>
      </x:c>
    </x:row>
    <x:row r="87" ht="23">
      <x:c r="A87" s="31" t="str">
        <x:v>I-083</x:v>
      </x:c>
      <x:c r="B87" s="31" t="str">
        <x:v>Routing</x:v>
      </x:c>
      <x:c r="C87" s="31" t="str">
        <x:v>Pesan dan next step setelah form terkirim</x:v>
      </x:c>
      <x:c r="D87" s="31" t="str">
        <x:v>Mencegah dead end</x:v>
      </x:c>
      <x:c r="E87" s="31" t="str">
        <x:v>Prospek</x:v>
      </x:c>
      <x:c r="F87" s="31" t="str">
        <x:v>Module p.15; Discovery 5.2</x:v>
      </x:c>
      <x:c r="G87" s="31" t="str">
        <x:v>ASUMSI SEMENTARA</x:v>
      </x:c>
      <x:c r="H87" s="31" t="str">
        <x:v>P2</x:v>
      </x:c>
      <x:c r="I87" s="31" t="str">
        <x:v>Thank You</x:v>
      </x:c>
      <x:c r="J87" s="31" t="str">
        <x:v>Halaman utilitas direkomendasikan sebagai tujuan form.</x:v>
      </x:c>
    </x:row>
    <x:row r="88" ht="23">
      <x:c r="A88" s="31" t="str">
        <x:v>I-084</x:v>
      </x:c>
      <x:c r="B88" s="31" t="str">
        <x:v>Experience</x:v>
      </x:c>
      <x:c r="C88" s="31" t="str">
        <x:v>Aksesibilitas, focus states, reduced motion, bilingual clarity</x:v>
      </x:c>
      <x:c r="D88" s="31" t="str">
        <x:v>Menjaga usability dan brand behaviour</x:v>
      </x:c>
      <x:c r="E88" s="31" t="str">
        <x:v>Semua</x:v>
      </x:c>
      <x:c r="F88" s="31" t="str">
        <x:v>Brand p.19</x:v>
      </x:c>
      <x:c r="G88" s="35" t="str">
        <x:v>TERSEDIA</x:v>
      </x:c>
      <x:c r="H88" s="31" t="str">
        <x:v>P2</x:v>
      </x:c>
      <x:c r="I88" s="31" t="str">
        <x:v>Semua halaman</x:v>
      </x:c>
      <x:c r="J88" s="31" t="str">
        <x:v>Implementasi teknis berada di fase desain/development.</x:v>
      </x:c>
    </x:row>
    <x:row r="89">
      <x:c r="A89" s="31" t="str">
        <x:v>W-001</x:v>
      </x:c>
      <x:c r="B89" s="31" t="str">
        <x:v>Architecture</x:v>
      </x:c>
      <x:c r="C89" s="31" t="str">
        <x:v>Root / redirects 302 to /id/</x:v>
      </x:c>
      <x:c r="D89" s="31" t="str">
        <x:v>Default locale routing</x:v>
      </x:c>
      <x:c r="E89" s="31" t="str">
        <x:v>All</x:v>
      </x:c>
      <x:c r="F89" s="31" t="str">
        <x:v>Website/codebase</x:v>
      </x:c>
      <x:c r="G89" s="41" t="str">
        <x:v>DITEMUKAN DI WEBSITE TETAPI BELUM ADA DI DOKUMEN</x:v>
      </x:c>
      <x:c r="H89" s="31" t="str">
        <x:v>P1</x:v>
      </x:c>
      <x:c r="I89" s="31" t="str">
        <x:v>Technical</x:v>
      </x:c>
      <x:c r="J89" s="31" t="str">
        <x:v>Current implementation.</x:v>
      </x:c>
    </x:row>
    <x:row r="90">
      <x:c r="A90" s="31" t="str">
        <x:v>W-002</x:v>
      </x:c>
      <x:c r="B90" s="31" t="str">
        <x:v>Architecture</x:v>
      </x:c>
      <x:c r="C90" s="31" t="str">
        <x:v>Eight current page types and 24 localized HTML URLs</x:v>
      </x:c>
      <x:c r="D90" s="31" t="str">
        <x:v>Current sitemap</x:v>
      </x:c>
      <x:c r="E90" s="31" t="str">
        <x:v>All</x:v>
      </x:c>
      <x:c r="F90" s="31" t="str">
        <x:v>Website/codebase</x:v>
      </x:c>
      <x:c r="G90" s="41" t="str">
        <x:v>DITEMUKAN DI WEBSITE TETAPI BELUM ADA DI DOKUMEN</x:v>
      </x:c>
      <x:c r="H90" s="31" t="str">
        <x:v>P1</x:v>
      </x:c>
      <x:c r="I90" s="31" t="str">
        <x:v>All</x:v>
      </x:c>
      <x:c r="J90" s="31" t="str">
        <x:v>Home, Profile, Profile Detail, Services, Projects, Blog, Article, Contact.</x:v>
      </x:c>
    </x:row>
    <x:row r="91">
      <x:c r="A91" s="31" t="str">
        <x:v>W-003</x:v>
      </x:c>
      <x:c r="B91" s="31" t="str">
        <x:v>Navigation</x:v>
      </x:c>
      <x:c r="C91" s="31" t="str">
        <x:v>Home item appears in desktop/mobile main navigation</x:v>
      </x:c>
      <x:c r="D91" s="31" t="str">
        <x:v>Accurate nav</x:v>
      </x:c>
      <x:c r="E91" s="31" t="str">
        <x:v>All</x:v>
      </x:c>
      <x:c r="F91" s="31" t="str">
        <x:v>Website/codebase</x:v>
      </x:c>
      <x:c r="G91" s="41" t="str">
        <x:v>DITEMUKAN DI WEBSITE TETAPI BELUM ADA DI DOKUMEN</x:v>
      </x:c>
      <x:c r="H91" s="31" t="str">
        <x:v>P1</x:v>
      </x:c>
      <x:c r="I91" s="31" t="str">
        <x:v>Header</x:v>
      </x:c>
      <x:c r="J91" s="31" t="str">
        <x:v>Fase 2 main nav omitted Home.</x:v>
      </x:c>
    </x:row>
    <x:row r="92">
      <x:c r="A92" s="31" t="str">
        <x:v>W-004</x:v>
      </x:c>
      <x:c r="B92" s="31" t="str">
        <x:v>Navigation</x:v>
      </x:c>
      <x:c r="C92" s="31" t="str">
        <x:v>Services has no dropdown and no detail routes</x:v>
      </x:c>
      <x:c r="D92" s="31" t="str">
        <x:v>Accurate routing</x:v>
      </x:c>
      <x:c r="E92" s="31" t="str">
        <x:v>Prospects</x:v>
      </x:c>
      <x:c r="F92" s="31" t="str">
        <x:v>Website/codebase</x:v>
      </x:c>
      <x:c r="G92" s="39" t="str">
        <x:v>TIDAK DITEMUKAN DI WEBSITE</x:v>
      </x:c>
      <x:c r="H92" s="31" t="str">
        <x:v>P1</x:v>
      </x:c>
      <x:c r="I92" s="31" t="str">
        <x:v>Services</x:v>
      </x:c>
      <x:c r="J92" s="31" t="str">
        <x:v>Card detail links self-loop to hub.</x:v>
      </x:c>
    </x:row>
    <x:row r="93">
      <x:c r="A93" s="31" t="str">
        <x:v>W-005</x:v>
      </x:c>
      <x:c r="B93" s="31" t="str">
        <x:v>Content</x:v>
      </x:c>
      <x:c r="C93" s="31" t="str">
        <x:v>Three named team profiles</x:v>
      </x:c>
      <x:c r="D93" s="31" t="str">
        <x:v>Prototype fidelity</x:v>
      </x:c>
      <x:c r="E93" s="31" t="str">
        <x:v>All</x:v>
      </x:c>
      <x:c r="F93" s="31" t="str">
        <x:v>Website/codebase</x:v>
      </x:c>
      <x:c r="G93" s="39" t="str">
        <x:v>DATA DUMMY</x:v>
      </x:c>
      <x:c r="H93" s="31" t="str">
        <x:v>P1</x:v>
      </x:c>
      <x:c r="I93" s="31" t="str">
        <x:v>Profile</x:v>
      </x:c>
      <x:c r="J93" s="31" t="str">
        <x:v>Kelvin, Maria, Michael; noindex; replace/remove before launch.</x:v>
      </x:c>
    </x:row>
    <x:row r="94">
      <x:c r="A94" s="31" t="str">
        <x:v>W-006</x:v>
      </x:c>
      <x:c r="B94" s="31" t="str">
        <x:v>Content</x:v>
      </x:c>
      <x:c r="C94" s="31" t="str">
        <x:v>Team imagery and credentials</x:v>
      </x:c>
      <x:c r="D94" s="31" t="str">
        <x:v>Prototype fidelity</x:v>
      </x:c>
      <x:c r="E94" s="31" t="str">
        <x:v>All</x:v>
      </x:c>
      <x:c r="F94" s="31" t="str">
        <x:v>Website/codebase</x:v>
      </x:c>
      <x:c r="G94" s="37" t="str">
        <x:v>PLACEHOLDER INTERNAL</x:v>
      </x:c>
      <x:c r="H94" s="31" t="str">
        <x:v>P1</x:v>
      </x:c>
      <x:c r="I94" s="31" t="str">
        <x:v>Profile</x:v>
      </x:c>
      <x:c r="J94" s="31" t="str">
        <x:v>Concept/generative visuals and placeholder fields.</x:v>
      </x:c>
    </x:row>
    <x:row r="95">
      <x:c r="A95" s="31" t="str">
        <x:v>W-007</x:v>
      </x:c>
      <x:c r="B95" s="31" t="str">
        <x:v>Services</x:v>
      </x:c>
      <x:c r="C95" s="31" t="str">
        <x:v>Fifteen Home service catalog items</x:v>
      </x:c>
      <x:c r="D95" s="31" t="str">
        <x:v>Prototype service discovery</x:v>
      </x:c>
      <x:c r="E95" s="31" t="str">
        <x:v>Prospects</x:v>
      </x:c>
      <x:c r="F95" s="31" t="str">
        <x:v>Website/codebase</x:v>
      </x:c>
      <x:c r="G95" s="37" t="str">
        <x:v>PLACEHOLDER INTERNAL</x:v>
      </x:c>
      <x:c r="H95" s="31" t="str">
        <x:v>P1</x:v>
      </x:c>
      <x:c r="I95" s="31" t="str">
        <x:v>Home</x:v>
      </x:c>
      <x:c r="J95" s="31" t="str">
        <x:v>Prototype under four approved categories.</x:v>
      </x:c>
    </x:row>
    <x:row r="96">
      <x:c r="A96" s="31" t="str">
        <x:v>W-008</x:v>
      </x:c>
      <x:c r="B96" s="31" t="str">
        <x:v>Services</x:v>
      </x:c>
      <x:c r="C96" s="31" t="str">
        <x:v>Four top-level service categories</x:v>
      </x:c>
      <x:c r="D96" s="31" t="str">
        <x:v>Approved service frame</x:v>
      </x:c>
      <x:c r="E96" s="31" t="str">
        <x:v>Prospects</x:v>
      </x:c>
      <x:c r="F96" s="31" t="str">
        <x:v>Website + user decision</x:v>
      </x:c>
      <x:c r="G96" s="35" t="str">
        <x:v>TERSEDIA</x:v>
      </x:c>
      <x:c r="H96" s="31" t="str">
        <x:v>P1</x:v>
      </x:c>
      <x:c r="I96" s="31" t="str">
        <x:v>Home, Services, Contact</x:v>
      </x:c>
      <x:c r="J96" s="31" t="str">
        <x:v>Retained as governing structure.</x:v>
      </x:c>
    </x:row>
    <x:row r="97">
      <x:c r="A97" s="31" t="str">
        <x:v>W-009</x:v>
      </x:c>
      <x:c r="B97" s="31" t="str">
        <x:v>Projects</x:v>
      </x:c>
      <x:c r="C97" s="31" t="str">
        <x:v>Three experience cards</x:v>
      </x:c>
      <x:c r="D97" s="31" t="str">
        <x:v>Prototype proof</x:v>
      </x:c>
      <x:c r="E97" s="31" t="str">
        <x:v>Prospects</x:v>
      </x:c>
      <x:c r="F97" s="31" t="str">
        <x:v>Website/codebase</x:v>
      </x:c>
      <x:c r="G97" s="39" t="str">
        <x:v>DATA DUMMY</x:v>
      </x:c>
      <x:c r="H97" s="31" t="str">
        <x:v>P1</x:v>
      </x:c>
      <x:c r="I97" s="31" t="str">
        <x:v>Projects, Home</x:v>
      </x:c>
      <x:c r="J97" s="31" t="str">
        <x:v>No evidence or publication consent.</x:v>
      </x:c>
    </x:row>
    <x:row r="98">
      <x:c r="A98" s="31" t="str">
        <x:v>W-010</x:v>
      </x:c>
      <x:c r="B98" s="31" t="str">
        <x:v>Projects</x:v>
      </x:c>
      <x:c r="C98" s="31" t="str">
        <x:v>Client names/logos/testimonials</x:v>
      </x:c>
      <x:c r="D98" s="31" t="str">
        <x:v>Prototype proof</x:v>
      </x:c>
      <x:c r="E98" s="31" t="str">
        <x:v>Prospects</x:v>
      </x:c>
      <x:c r="F98" s="31" t="str">
        <x:v>Website/codebase</x:v>
      </x:c>
      <x:c r="G98" s="39" t="str">
        <x:v>DATA DUMMY</x:v>
      </x:c>
      <x:c r="H98" s="31" t="str">
        <x:v>P1</x:v>
      </x:c>
      <x:c r="I98" s="31" t="str">
        <x:v>Home, Projects</x:v>
      </x:c>
      <x:c r="J98" s="31" t="str">
        <x:v>ARUNA/NUSA/etc. must not be treated as real clients.</x:v>
      </x:c>
    </x:row>
    <x:row r="99">
      <x:c r="A99" s="31" t="str">
        <x:v>W-011</x:v>
      </x:c>
      <x:c r="B99" s="31" t="str">
        <x:v>Metrics</x:v>
      </x:c>
      <x:c r="C99" s="31" t="str">
        <x:v>Stats placeholders [DATA]</x:v>
      </x:c>
      <x:c r="D99" s="31" t="str">
        <x:v>Prototype layout</x:v>
      </x:c>
      <x:c r="E99" s="31" t="str">
        <x:v>Prospects</x:v>
      </x:c>
      <x:c r="F99" s="31" t="str">
        <x:v>Website/codebase</x:v>
      </x:c>
      <x:c r="G99" s="39" t="str">
        <x:v>DATA DUMMY</x:v>
      </x:c>
      <x:c r="H99" s="31" t="str">
        <x:v>P1</x:v>
      </x:c>
      <x:c r="I99" s="31" t="str">
        <x:v>Home</x:v>
      </x:c>
      <x:c r="J99" s="31" t="str">
        <x:v>Never publish as factual claim.</x:v>
      </x:c>
    </x:row>
    <x:row r="100">
      <x:c r="A100" s="31" t="str">
        <x:v>W-012</x:v>
      </x:c>
      <x:c r="B100" s="31" t="str">
        <x:v>Media</x:v>
      </x:c>
      <x:c r="C100" s="31" t="str">
        <x:v>Company video section</x:v>
      </x:c>
      <x:c r="D100" s="31" t="str">
        <x:v>Prototype layout</x:v>
      </x:c>
      <x:c r="E100" s="31" t="str">
        <x:v>Prospects</x:v>
      </x:c>
      <x:c r="F100" s="31" t="str">
        <x:v>Website/codebase</x:v>
      </x:c>
      <x:c r="G100" s="37" t="str">
        <x:v>PLACEHOLDER INTERNAL</x:v>
      </x:c>
      <x:c r="H100" s="31" t="str">
        <x:v>P2</x:v>
      </x:c>
      <x:c r="I100" s="31" t="str">
        <x:v>Home</x:v>
      </x:c>
      <x:c r="J100" s="31" t="str">
        <x:v>No approved video asset.</x:v>
      </x:c>
    </x:row>
    <x:row r="101">
      <x:c r="A101" s="31" t="str">
        <x:v>W-013</x:v>
      </x:c>
      <x:c r="B101" s="31" t="str">
        <x:v>Blog</x:v>
      </x:c>
      <x:c r="C101" s="31" t="str">
        <x:v>Six bilingual article routes</x:v>
      </x:c>
      <x:c r="D101" s="31" t="str">
        <x:v>Preview knowledge content</x:v>
      </x:c>
      <x:c r="E101" s="31" t="str">
        <x:v>Prospects</x:v>
      </x:c>
      <x:c r="F101" s="31" t="str">
        <x:v>Website/codebase</x:v>
      </x:c>
      <x:c r="G101" s="39" t="str">
        <x:v>TIDAK BOLEH TAYANG</x:v>
      </x:c>
      <x:c r="H101" s="31" t="str">
        <x:v>P1</x:v>
      </x:c>
      <x:c r="I101" s="31" t="str">
        <x:v>Blog</x:v>
      </x:c>
      <x:c r="J101" s="31" t="str">
        <x:v>Preview-only; exclude from launch until reviewed.</x:v>
      </x:c>
    </x:row>
    <x:row r="102">
      <x:c r="A102" s="31" t="str">
        <x:v>W-014</x:v>
      </x:c>
      <x:c r="B102" s="31" t="str">
        <x:v>Blog</x:v>
      </x:c>
      <x:c r="C102" s="31" t="str">
        <x:v>Reviewer/source/current-law metadata</x:v>
      </x:c>
      <x:c r="D102" s="31" t="str">
        <x:v>Article governance</x:v>
      </x:c>
      <x:c r="E102" s="31" t="str">
        <x:v>Legal/editorial</x:v>
      </x:c>
      <x:c r="F102" s="31" t="str">
        <x:v>Website/codebase</x:v>
      </x:c>
      <x:c r="G102" s="35" t="str">
        <x:v>BELUM TERSEDIA</x:v>
      </x:c>
      <x:c r="H102" s="31" t="str">
        <x:v>P1</x:v>
      </x:c>
      <x:c r="I102" s="31" t="str">
        <x:v>Article Detail</x:v>
      </x:c>
      <x:c r="J102" s="31" t="str">
        <x:v>Schema lacks approved reviewer and review date.</x:v>
      </x:c>
    </x:row>
    <x:row r="103">
      <x:c r="A103" s="31" t="str">
        <x:v>W-015</x:v>
      </x:c>
      <x:c r="B103" s="31" t="str">
        <x:v>Contact</x:v>
      </x:c>
      <x:c r="C103" s="31" t="str">
        <x:v>Contact form fields and validation</x:v>
      </x:c>
      <x:c r="D103" s="31" t="str">
        <x:v>Inquiry capture</x:v>
      </x:c>
      <x:c r="E103" s="31" t="str">
        <x:v>Prospects</x:v>
      </x:c>
      <x:c r="F103" s="31" t="str">
        <x:v>Website/codebase</x:v>
      </x:c>
      <x:c r="G103" s="35" t="str">
        <x:v>TERSEDIA</x:v>
      </x:c>
      <x:c r="H103" s="31" t="str">
        <x:v>P1</x:v>
      </x:c>
      <x:c r="I103" s="31" t="str">
        <x:v>Contact</x:v>
      </x:c>
      <x:c r="J103" s="31" t="str">
        <x:v>Name, email, WhatsApp, company, service, message, consent, honeypot.</x:v>
      </x:c>
    </x:row>
    <x:row r="104">
      <x:c r="A104" s="31" t="str">
        <x:v>W-016</x:v>
      </x:c>
      <x:c r="B104" s="31" t="str">
        <x:v>Contact</x:v>
      </x:c>
      <x:c r="C104" s="31" t="str">
        <x:v>Resend-only delivery</x:v>
      </x:c>
      <x:c r="D104" s="31" t="str">
        <x:v>Inquiry delivery</x:v>
      </x:c>
      <x:c r="E104" s="31" t="str">
        <x:v>Operations</x:v>
      </x:c>
      <x:c r="F104" s="31" t="str">
        <x:v>Website + user decision</x:v>
      </x:c>
      <x:c r="G104" s="35" t="str">
        <x:v>TERSEDIA</x:v>
      </x:c>
      <x:c r="H104" s="31" t="str">
        <x:v>P1</x:v>
      </x:c>
      <x:c r="I104" s="31" t="str">
        <x:v>API Contact</x:v>
      </x:c>
      <x:c r="J104" s="31" t="str">
        <x:v>Google Sheets/CRM moved to backlog.</x:v>
      </x:c>
    </x:row>
    <x:row r="105">
      <x:c r="A105" s="31" t="str">
        <x:v>W-017</x:v>
      </x:c>
      <x:c r="B105" s="31" t="str">
        <x:v>Contact</x:v>
      </x:c>
      <x:c r="C105" s="31" t="str">
        <x:v>Inline success response</x:v>
      </x:c>
      <x:c r="D105" s="31" t="str">
        <x:v>Submission feedback</x:v>
      </x:c>
      <x:c r="E105" s="31" t="str">
        <x:v>Prospects</x:v>
      </x:c>
      <x:c r="F105" s="31" t="str">
        <x:v>Website/codebase</x:v>
      </x:c>
      <x:c r="G105" s="41" t="str">
        <x:v>DIPERBARUI</x:v>
      </x:c>
      <x:c r="H105" s="31" t="str">
        <x:v>P1</x:v>
      </x:c>
      <x:c r="I105" s="31" t="str">
        <x:v>Contact</x:v>
      </x:c>
      <x:c r="J105" s="31" t="str">
        <x:v>Approved target is modal/pop-up Thank You; not yet implemented.</x:v>
      </x:c>
    </x:row>
    <x:row r="106">
      <x:c r="A106" s="31" t="str">
        <x:v>W-018</x:v>
      </x:c>
      <x:c r="B106" s="31" t="str">
        <x:v>Legal</x:v>
      </x:c>
      <x:c r="C106" s="31" t="str">
        <x:v>Privacy Policy route/copy</x:v>
      </x:c>
      <x:c r="D106" s="31" t="str">
        <x:v>Data governance</x:v>
      </x:c>
      <x:c r="E106" s="31" t="str">
        <x:v>All</x:v>
      </x:c>
      <x:c r="F106" s="31" t="str">
        <x:v>Website/codebase</x:v>
      </x:c>
      <x:c r="G106" s="35" t="str">
        <x:v>BELUM TERSEDIA</x:v>
      </x:c>
      <x:c r="H106" s="31" t="str">
        <x:v>P1</x:v>
      </x:c>
      <x:c r="I106" s="31" t="str">
        <x:v>Contact/Footer</x:v>
      </x:c>
      <x:c r="J106" s="31" t="str">
        <x:v>Do not invent; launch blocker.</x:v>
      </x:c>
    </x:row>
    <x:row r="107">
      <x:c r="A107" s="31" t="str">
        <x:v>W-019</x:v>
      </x:c>
      <x:c r="B107" s="31" t="str">
        <x:v>Legal</x:v>
      </x:c>
      <x:c r="C107" s="31" t="str">
        <x:v>Terms &amp; Disclaimer route/copy</x:v>
      </x:c>
      <x:c r="D107" s="31" t="str">
        <x:v>Usage governance</x:v>
      </x:c>
      <x:c r="E107" s="31" t="str">
        <x:v>All</x:v>
      </x:c>
      <x:c r="F107" s="31" t="str">
        <x:v>Website/codebase</x:v>
      </x:c>
      <x:c r="G107" s="35" t="str">
        <x:v>BELUM TERSEDIA</x:v>
      </x:c>
      <x:c r="H107" s="31" t="str">
        <x:v>P1</x:v>
      </x:c>
      <x:c r="I107" s="31" t="str">
        <x:v>Footer</x:v>
      </x:c>
      <x:c r="J107" s="31" t="str">
        <x:v>Do not invent; launch blocker.</x:v>
      </x:c>
    </x:row>
    <x:row r="108">
      <x:c r="A108" s="31" t="str">
        <x:v>W-020</x:v>
      </x:c>
      <x:c r="B108" s="31" t="str">
        <x:v>Technical</x:v>
      </x:c>
      <x:c r="C108" s="31" t="str">
        <x:v>Example legal domain in metadata/canonical</x:v>
      </x:c>
      <x:c r="D108" s="31" t="str">
        <x:v>SEO identity</x:v>
      </x:c>
      <x:c r="E108" s="31" t="str">
        <x:v>Search</x:v>
      </x:c>
      <x:c r="F108" s="31" t="str">
        <x:v>Website/codebase</x:v>
      </x:c>
      <x:c r="G108" s="37" t="str">
        <x:v>PLACEHOLDER INTERNAL</x:v>
      </x:c>
      <x:c r="H108" s="31" t="str">
        <x:v>P1</x:v>
      </x:c>
      <x:c r="I108" s="31" t="str">
        <x:v>Base Layout</x:v>
      </x:c>
      <x:c r="J108" s="31" t="str">
        <x:v>Replace after galdinopartner.co.id is acquired.</x:v>
      </x:c>
    </x:row>
    <x:row r="109">
      <x:c r="A109" s="31" t="str">
        <x:v>W-021</x:v>
      </x:c>
      <x:c r="B109" s="31" t="str">
        <x:v>Technical</x:v>
      </x:c>
      <x:c r="C109" s="31" t="str">
        <x:v>Organization JSON-LD with project contact</x:v>
      </x:c>
      <x:c r="D109" s="31" t="str">
        <x:v>Structured data</x:v>
      </x:c>
      <x:c r="E109" s="31" t="str">
        <x:v>Search</x:v>
      </x:c>
      <x:c r="F109" s="31" t="str">
        <x:v>Website/codebase</x:v>
      </x:c>
      <x:c r="G109" s="39" t="str">
        <x:v>TIDAK BOLEH TAYANG</x:v>
      </x:c>
      <x:c r="H109" s="31" t="str">
        <x:v>P1</x:v>
      </x:c>
      <x:c r="I109" s="31" t="str">
        <x:v>All</x:v>
      </x:c>
      <x:c r="J109" s="31" t="str">
        <x:v>Publish only verified organization/contact data.</x:v>
      </x:c>
    </x:row>
    <x:row r="110">
      <x:c r="A110" s="31" t="str">
        <x:v>W-022</x:v>
      </x:c>
      <x:c r="B110" s="31" t="str">
        <x:v>Technical</x:v>
      </x:c>
      <x:c r="C110" s="31" t="str">
        <x:v>robots.txt allows broad crawling</x:v>
      </x:c>
      <x:c r="D110" s="31" t="str">
        <x:v>Indexing control</x:v>
      </x:c>
      <x:c r="E110" s="31" t="str">
        <x:v>Search</x:v>
      </x:c>
      <x:c r="F110" s="31" t="str">
        <x:v>Website/codebase</x:v>
      </x:c>
      <x:c r="G110" s="41" t="str">
        <x:v>DIPERBARUI</x:v>
      </x:c>
      <x:c r="H110" s="31" t="str">
        <x:v>P1</x:v>
      </x:c>
      <x:c r="I110" s="31" t="str">
        <x:v>Technical</x:v>
      </x:c>
      <x:c r="J110" s="31" t="str">
        <x:v>Protect staging/prototype content before public deployment.</x:v>
      </x:c>
    </x:row>
    <x:row r="111">
      <x:c r="A111" s="31" t="str">
        <x:v>W-023</x:v>
      </x:c>
      <x:c r="B111" s="31" t="str">
        <x:v>Technical</x:v>
      </x:c>
      <x:c r="C111" s="31" t="str">
        <x:v>Bilingual RSS feeds</x:v>
      </x:c>
      <x:c r="D111" s="31" t="str">
        <x:v>Content discovery</x:v>
      </x:c>
      <x:c r="E111" s="31" t="str">
        <x:v>Search</x:v>
      </x:c>
      <x:c r="F111" s="31" t="str">
        <x:v>Website/codebase</x:v>
      </x:c>
      <x:c r="G111" s="41" t="str">
        <x:v>DITEMUKAN DI WEBSITE TETAPI BELUM ADA DI DOKUMEN</x:v>
      </x:c>
      <x:c r="H111" s="31" t="str">
        <x:v>P2</x:v>
      </x:c>
      <x:c r="I111" s="31" t="str">
        <x:v>RSS</x:v>
      </x:c>
      <x:c r="J111" s="31" t="str">
        <x:v>Current /id/rss.xml and /en/rss.xml.</x:v>
      </x:c>
    </x:row>
    <x:row r="112">
      <x:c r="A112" s="31" t="str">
        <x:v>W-024</x:v>
      </x:c>
      <x:c r="B112" s="31" t="str">
        <x:v>Navigation</x:v>
      </x:c>
      <x:c r="C112" s="31" t="str">
        <x:v>Floating WhatsApp dock on desktop/tablet</x:v>
      </x:c>
      <x:c r="D112" s="31" t="str">
        <x:v>Direct contact</x:v>
      </x:c>
      <x:c r="E112" s="31" t="str">
        <x:v>Prospects</x:v>
      </x:c>
      <x:c r="F112" s="31" t="str">
        <x:v>Website/codebase</x:v>
      </x:c>
      <x:c r="G112" s="41" t="str">
        <x:v>DITEMUKAN DI WEBSITE TETAPI BELUM ADA DI DOKUMEN</x:v>
      </x:c>
      <x:c r="H112" s="31" t="str">
        <x:v>P2</x:v>
      </x:c>
      <x:c r="I112" s="31" t="str">
        <x:v>Global</x:v>
      </x:c>
      <x:c r="J112" s="31" t="str">
        <x:v>Hidden below 768px.</x:v>
      </x:c>
    </x:row>
    <x:row r="113">
      <x:c r="A113" s="31" t="str">
        <x:v>W-025</x:v>
      </x:c>
      <x:c r="B113" s="31" t="str">
        <x:v>Technical</x:v>
      </x:c>
      <x:c r="C113" s="31" t="str">
        <x:v>Analytics/tracking</x:v>
      </x:c>
      <x:c r="D113" s="31" t="str">
        <x:v>Measurement</x:v>
      </x:c>
      <x:c r="E113" s="31" t="str">
        <x:v>Marketing</x:v>
      </x:c>
      <x:c r="F113" s="31" t="str">
        <x:v>Website/codebase</x:v>
      </x:c>
      <x:c r="G113" s="35" t="str">
        <x:v>BELUM TERSEDIA</x:v>
      </x:c>
      <x:c r="H113" s="31" t="str">
        <x:v>P2</x:v>
      </x:c>
      <x:c r="I113" s="31" t="str">
        <x:v>Global</x:v>
      </x:c>
      <x:c r="J113" s="31" t="str">
        <x:v>Desired in Discovery; not implemented.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3f342c42ee9347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40" hidden="0" customWidth="1"/>
    <x:col min="2" max="3" width="18" customWidth="1"/>
    <x:col min="2" max="2" width="16" hidden="0" customWidth="1"/>
    <x:col min="3" max="3" width="18" hidden="0" customWidth="1"/>
    <x:col min="4" max="4" width="38" hidden="0" customWidth="1"/>
  </x:cols>
  <x:sheetData>
    <x:row r="1" ht="34" customHeight="1">
      <x:c r="A1" s="18" t="str">
        <x:v>Matriks Ketersediaan Informasi</x:v>
      </x:c>
      <x:c r="B1" s="18"/>
      <x:c r="C1" s="18"/>
      <x:c r="D1" s="43"/>
      <x:c r="E1" s="2"/>
      <x:c r="F1" s="7"/>
    </x:row>
    <x:row r="2" ht="28" customHeight="1">
      <x:c r="A2" s="20" t="str">
        <x:v>Formula-driven status summary from Master Inventory.</x:v>
      </x:c>
      <x:c r="B2" s="20"/>
      <x:c r="C2" s="20"/>
      <x:c r="D2" s="48"/>
      <x:c r="E2" s="4"/>
    </x:row>
    <x:row r="4" ht="34" customHeight="1">
      <x:c r="A4" s="23" t="str">
        <x:v>Status</x:v>
      </x:c>
      <x:c r="B4" s="23" t="str">
        <x:v>Jumlah</x:v>
      </x:c>
      <x:c r="C4" s="23" t="str">
        <x:v>Persentase</x:v>
      </x:c>
      <x:c r="D4" s="53" t="str">
        <x:v>Source</x:v>
      </x:c>
    </x:row>
    <x:row r="5" ht="15" customHeight="1">
      <x:c r="A5" s="68" t="str">
        <x:v>TERSEDIA</x:v>
      </x:c>
      <x:c r="B5" s="58" t="n">
        <x:f>COUNTIF('Master Inventory'!$G$5:$G$200,"TERSEDIA")</x:f>
        <x:v>47</x:v>
      </x:c>
      <x:c r="C5" s="80" t="n">
        <x:f>B5/COUNTA('Master Inventory'!$A$5:$A$200)</x:f>
        <x:v>0.43119266055045874</x:v>
      </x:c>
      <x:c r="D5" s="65" t="str">
        <x:v>Master Inventory column G</x:v>
      </x:c>
    </x:row>
    <x:row r="6" ht="15" customHeight="1">
      <x:c r="A6" s="70" t="str">
        <x:v>TERSEDIA SEBAGIAN</x:v>
      </x:c>
      <x:c r="B6" s="61" t="n">
        <x:f>COUNTIF('Master Inventory'!$G$5:$G$200,"TERSEDIA SEBAGIAN")</x:f>
        <x:v>1</x:v>
      </x:c>
      <x:c r="C6" s="81" t="n">
        <x:f>B6/COUNTA('Master Inventory'!$A$5:$A$200)</x:f>
        <x:v>0.009174311926605505</x:v>
      </x:c>
      <x:c r="D6" s="66" t="str">
        <x:v>Master Inventory column G</x:v>
      </x:c>
    </x:row>
    <x:row r="7" ht="21.600000381469727" customHeight="1">
      <x:c r="A7" s="72" t="str">
        <x:v>DITEMUKAN DI WEBSITE TETAPI BELUM ADA DI DOKUMEN</x:v>
      </x:c>
      <x:c r="B7" s="61" t="n">
        <x:f>COUNTIF('Master Inventory'!$G$5:$G$200,"DITEMUKAN DI WEBSITE TETAPI BELUM ADA DI DOKUMEN")</x:f>
        <x:v>5</x:v>
      </x:c>
      <x:c r="C7" s="81" t="n">
        <x:f>B7/COUNTA('Master Inventory'!$A$5:$A$200)</x:f>
        <x:v>0.045871559633027525</x:v>
      </x:c>
      <x:c r="D7" s="66" t="str">
        <x:v>Master Inventory column G</x:v>
      </x:c>
    </x:row>
    <x:row r="8" ht="23" customHeight="1">
      <x:c r="A8" s="74" t="str">
        <x:v>PLACEHOLDER INTERNAL</x:v>
      </x:c>
      <x:c r="B8" s="61" t="n">
        <x:f>COUNTIF('Master Inventory'!$G$5:$G$200,"PLACEHOLDER INTERNAL")</x:f>
        <x:v>4</x:v>
      </x:c>
      <x:c r="C8" s="81" t="n">
        <x:f>B8/COUNTA('Master Inventory'!$A$5:$A$200)</x:f>
        <x:v>0.03669724770642202</x:v>
      </x:c>
      <x:c r="D8" s="66" t="str">
        <x:v>Master Inventory column G</x:v>
      </x:c>
    </x:row>
    <x:row r="9" ht="21.600000381469727" customHeight="1">
      <x:c r="A9" s="76" t="str">
        <x:v>DATA DUMMY</x:v>
      </x:c>
      <x:c r="B9" s="61" t="n">
        <x:f>COUNTIF('Master Inventory'!$G$5:$G$200,"DATA DUMMY")</x:f>
        <x:v>4</x:v>
      </x:c>
      <x:c r="C9" s="81" t="n">
        <x:f>B9/COUNTA('Master Inventory'!$A$5:$A$200)</x:f>
        <x:v>0.03669724770642202</x:v>
      </x:c>
      <x:c r="D9" s="66" t="str">
        <x:v>Master Inventory column G</x:v>
      </x:c>
    </x:row>
    <x:row r="10">
      <x:c r="A10" s="37" t="str">
        <x:v>MENUNGGU VERIFIKASI</x:v>
      </x:c>
      <x:c r="B10" s="66" t="n">
        <x:f>COUNTIF('Master Inventory'!$G$5:$G$200,"MENUNGGU VERIFIKASI")</x:f>
        <x:v>1</x:v>
      </x:c>
      <x:c r="C10" s="82" t="n">
        <x:f>B10/COUNTA('Master Inventory'!$A$5:$A$200)</x:f>
        <x:v>0.009174311926605505</x:v>
      </x:c>
      <x:c r="D10" s="66" t="str">
        <x:v>Master Inventory column G</x:v>
      </x:c>
    </x:row>
    <x:row r="11">
      <x:c r="A11" s="39" t="str">
        <x:v>TIDAK BOLEH TAYANG</x:v>
      </x:c>
      <x:c r="B11" s="66" t="n">
        <x:f>COUNTIF('Master Inventory'!$G$5:$G$200,"TIDAK BOLEH TAYANG")</x:f>
        <x:v>4</x:v>
      </x:c>
      <x:c r="C11" s="82" t="n">
        <x:f>B11/COUNTA('Master Inventory'!$A$5:$A$200)</x:f>
        <x:v>0.03669724770642202</x:v>
      </x:c>
      <x:c r="D11" s="66" t="str">
        <x:v>Master Inventory column G</x:v>
      </x:c>
    </x:row>
    <x:row r="12">
      <x:c r="A12" s="35" t="str">
        <x:v>BELUM TERSEDIA</x:v>
      </x:c>
      <x:c r="B12" s="66" t="n">
        <x:f>COUNTIF('Master Inventory'!$G$5:$G$200,"BELUM TERSEDIA")</x:f>
        <x:v>20</x:v>
      </x:c>
      <x:c r="C12" s="82" t="n">
        <x:f>B12/COUNTA('Master Inventory'!$A$5:$A$200)</x:f>
        <x:v>0.1834862385321101</x:v>
      </x:c>
      <x:c r="D12" s="66" t="str">
        <x:v>Master Inventory column G</x:v>
      </x:c>
    </x:row>
  </x:sheetData>
  <x:mergeCells>
    <x:mergeCell ref="A1:C1"/>
    <x:mergeCell ref="A2:C2"/>
  </x:mergeCells>
  <x:pageMargins left="0.7" right="0.7" top="0.75" bottom="0.75" header="0.3" footer="0.3"/>
  <x:drawing xmlns:r="http://schemas.openxmlformats.org/officeDocument/2006/relationships" r:id="Rffd37b336fe54343"/>
  <x:tableParts count="1">
    <x:tablePart xmlns:r="http://schemas.openxmlformats.org/officeDocument/2006/relationships" r:id="R6302cf4d50604d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4" hidden="0" customWidth="1"/>
    <x:col min="2" max="2" width="16" hidden="0" customWidth="1"/>
    <x:col min="3" max="3" width="62" hidden="0" customWidth="1"/>
    <x:col min="4" max="4" width="74" hidden="0" customWidth="1"/>
  </x:cols>
  <x:sheetData>
    <x:row r="1" ht="34" customHeight="1">
      <x:c r="A1" s="18" t="str">
        <x:v>Source Notes</x:v>
      </x:c>
      <x:c r="B1" s="18"/>
      <x:c r="C1" s="43"/>
      <x:c r="D1" s="43"/>
      <x:c r="E1" s="2"/>
      <x:c r="F1" s="2"/>
    </x:row>
    <x:row r="2" ht="28" customHeight="1">
      <x:c r="A2" s="20" t="str">
        <x:v>Source hierarchy and traceability for the aligned website information inventory.</x:v>
      </x:c>
      <x:c r="B2" s="20"/>
      <x:c r="C2" s="48"/>
      <x:c r="D2" s="48"/>
      <x:c r="E2" s="4"/>
      <x:c r="F2" s="4"/>
    </x:row>
    <x:row r="4" ht="34" customHeight="1">
      <x:c r="A4" s="23" t="str">
        <x:v>Source</x:v>
      </x:c>
      <x:c r="B4" s="23" t="str">
        <x:v>Priority</x:v>
      </x:c>
      <x:c r="C4" s="53" t="str">
        <x:v>Function</x:v>
      </x:c>
      <x:c r="D4" s="53" t="str">
        <x:v>Location</x:v>
      </x:c>
    </x:row>
    <x:row r="5" ht="46">
      <x:c r="A5" s="65" t="str">
        <x:v>Website/codebase aktual</x:v>
      </x:c>
      <x:c r="B5" s="65" t="str">
        <x:v>Primary</x:v>
      </x:c>
      <x:c r="C5" s="65" t="str">
        <x:v>Implemented route, page structure, navigation, CTA, user flow, feature, and technical behavior.</x:v>
      </x:c>
      <x:c r="D5" s="65" t="str">
        <x:v>C:\Users\Joshua\OneDrive\Documents\Law\outputs\galdino_partner\website</x:v>
      </x:c>
    </x:row>
    <x:row r="6" ht="34.5">
      <x:c r="A6" s="66" t="str">
        <x:v>Dokumen Fase 2 terbaru</x:v>
      </x:c>
      <x:c r="B6" s="66" t="str">
        <x:v>Secondary</x:v>
      </x:c>
      <x:c r="C6" s="66" t="str">
        <x:v>Architecture and decisions; unimplemented elements are retained as backlog.</x:v>
      </x:c>
      <x:c r="D6" s="66" t="str">
        <x:v>C:\Users\Joshua\OneDrive\Documents\Law\outputs\galdino_partner\plan\FASE 2</x:v>
      </x:c>
    </x:row>
    <x:row r="7" ht="34.5">
      <x:c r="A7" s="66" t="str">
        <x:v>Dokumen Fase 1</x:v>
      </x:c>
      <x:c r="B7" s="66" t="str">
        <x:v>Tertiary</x:v>
      </x:c>
      <x:c r="C7" s="66" t="str">
        <x:v>Discovery, business facts, brand foundation, user needs, and project context.</x:v>
      </x:c>
      <x:c r="D7" s="66" t="str">
        <x:v>C:\Users\Joshua\OneDrive\Documents\Law\outputs\galdino_partner\plan\FASE 1</x:v>
      </x:c>
    </x:row>
    <x:row r="8" ht="34.5">
      <x:c r="A8" s="66" t="str">
        <x:v>Brand Guidelines dan audit pendukung</x:v>
      </x:c>
      <x:c r="B8" s="66" t="str">
        <x:v>Supporting</x:v>
      </x:c>
      <x:c r="C8" s="66" t="str">
        <x:v>Reference only; cannot create claims or expand approved scope.</x:v>
      </x:c>
      <x:c r="D8" s="66" t="str">
        <x:v>C:\Users\Joshua\OneDrive\Documents\Law\outputs\galdino_partner\brand</x:v>
      </x:c>
    </x:row>
    <x:row r="9" ht="23">
      <x:c r="A9" s="66" t="str">
        <x:v>Keputusan pengguna 5 Agustus 2026</x:v>
      </x:c>
      <x:c r="B9" s="66" t="str">
        <x:v>Approval</x:v>
      </x:c>
      <x:c r="C9" s="66" t="str">
        <x:v>Eleven explicit decisions controlling current/backlog, legal identity, prototype content, domain, inquiry, and governance.</x:v>
      </x:c>
      <x:c r="D9" s="66" t="str">
        <x:v>Current Codex task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314f8233a53a49f1"/>
  </x:tableParts>
</x:worksheet>
</file>