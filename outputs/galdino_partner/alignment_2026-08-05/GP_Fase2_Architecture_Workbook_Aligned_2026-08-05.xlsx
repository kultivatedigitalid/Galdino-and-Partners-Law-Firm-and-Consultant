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20e4c39a6440a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1f1afcd538c64a34"/>
    <x:sheet xmlns:r="http://schemas.openxmlformats.org/officeDocument/2006/relationships" name="Act 4 Merge Evaluation" sheetId="2" r:id="R12ec6846cc904ebb"/>
    <x:sheet xmlns:r="http://schemas.openxmlformats.org/officeDocument/2006/relationships" name="Final Page List" sheetId="3" r:id="Rcd6328d2a1304e6d"/>
    <x:sheet xmlns:r="http://schemas.openxmlformats.org/officeDocument/2006/relationships" name="Act 5 Page Jobs" sheetId="4" r:id="R5aff2b6d95ca4ac2"/>
    <x:sheet xmlns:r="http://schemas.openxmlformats.org/officeDocument/2006/relationships" name="Act 6 Page Questions" sheetId="5" r:id="Rd4df0ca66c4c4260"/>
    <x:sheet xmlns:r="http://schemas.openxmlformats.org/officeDocument/2006/relationships" name="Job Question Alignment" sheetId="6" r:id="R5e71ce45c3644bcf"/>
    <x:sheet xmlns:r="http://schemas.openxmlformats.org/officeDocument/2006/relationships" name="Content Dependencies" sheetId="7" r:id="R403ae23147914850"/>
    <x:sheet xmlns:r="http://schemas.openxmlformats.org/officeDocument/2006/relationships" name="Source Notes" sheetId="8" r:id="R07c85e2c38ff4f8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176" formatCode="_(* #,##0.00_);_(* \(#,##0.00\);_(* &quot;-&quot;??_);_(@_)"/>
    <x:numFmt numFmtId="177" formatCode="_-&quot;Rp&quot;* #,##0.00_-;\-&quot;Rp&quot;* #,##0.00_-;_-&quot;Rp&quot;* &quot;-&quot;??_-;_-@_-"/>
    <x:numFmt numFmtId="178" formatCode="_(* #,##0_);_(* \(#,##0\);_(* &quot;-&quot;_);_(@_)"/>
    <x:numFmt numFmtId="179" formatCode="_-&quot;Rp&quot;* #,##0_-;\-&quot;Rp&quot;* #,##0_-;_-&quot;Rp&quot;* &quot;-&quot;??_-;_-@_-"/>
  </x:numFmts>
  <x:fonts count="38">
    <x:font>
      <x:sz val="11"/>
      <x:name val="Carlito"/>
    </x:font>
    <x:font>
      <x:b/>
      <x:sz val="16"/>
      <x:color rgb="FFFFFFFF"/>
      <x:name val="Carlito"/>
    </x:font>
    <x:font>
      <x:sz val="10"/>
      <x:color rgb="FF6B7280"/>
      <x:name val="Carlito"/>
    </x:font>
    <x:font>
      <x:b/>
      <x:sz val="9"/>
      <x:color rgb="FFFFFFFF"/>
      <x:name val="Carlito"/>
    </x:font>
    <x:font>
      <x:sz val="9"/>
      <x:color rgb="FF0B0B0C"/>
      <x:name val="Carlito"/>
    </x:font>
    <x:font>
      <x:b/>
      <x:sz val="11"/>
      <x:color theme="0"/>
      <x:name val="Carlito"/>
    </x:font>
    <x:font>
      <x:b/>
      <x:sz val="14"/>
      <x:color theme="0"/>
      <x:name val="Carlito"/>
    </x:font>
    <x:font>
      <x:sz val="11"/>
      <x:color rgb="FF0B0B0C"/>
      <x:name val="Carlito"/>
    </x:font>
    <x:font>
      <x:b/>
      <x:sz val="14"/>
      <x:color rgb="FFC4142A"/>
      <x:name val="Carlito"/>
    </x:font>
    <x:font>
      <x:sz val="11"/>
      <x:color theme="1"/>
      <x:name val="Calibri"/>
    </x:font>
    <x:font>
      <x:sz val="11"/>
      <x:color rgb="FF0000FF"/>
      <x:name val="Calibri"/>
    </x:font>
    <x:font>
      <x:sz val="11"/>
      <x:color rgb="FF800080"/>
      <x:name val="Calibri"/>
    </x:font>
    <x:font>
      <x:sz val="11"/>
      <x:color rgb="FFFF0000"/>
      <x:name val="Calibri"/>
    </x:font>
    <x:font>
      <x:b/>
      <x:sz val="18"/>
      <x:color theme="3"/>
      <x:name val="Calibri"/>
    </x:font>
    <x:font>
      <x:i/>
      <x:sz val="11"/>
      <x:color rgb="FF7F7F7F"/>
      <x:name val="Calibri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sz val="11"/>
      <x:color rgb="FF3F3F76"/>
      <x:name val="Calibri"/>
    </x:font>
    <x:font>
      <x:b/>
      <x:sz val="11"/>
      <x:color rgb="FF3F3F3F"/>
      <x:name val="Calibri"/>
    </x:font>
    <x:font>
      <x:b/>
      <x:sz val="11"/>
      <x:color rgb="FFFA7D00"/>
      <x:name val="Calibri"/>
    </x:font>
    <x:font>
      <x:b/>
      <x:sz val="11"/>
      <x:color rgb="FFFFFFFF"/>
      <x:name val="Calibri"/>
    </x:font>
    <x:font>
      <x:sz val="11"/>
      <x:color rgb="FFFA7D00"/>
      <x:name val="Calibri"/>
    </x:font>
    <x:font>
      <x:b/>
      <x:sz val="11"/>
      <x:color theme="1"/>
      <x:name val="Calibri"/>
    </x:font>
    <x:font>
      <x:sz val="11"/>
      <x:color rgb="FF006100"/>
      <x:name val="Calibri"/>
    </x:font>
    <x:font>
      <x:sz val="11"/>
      <x:color rgb="FF9C0006"/>
      <x:name val="Calibri"/>
    </x:font>
    <x:font>
      <x:sz val="11"/>
      <x:color rgb="FF9C6500"/>
      <x:name val="Calibri"/>
    </x:font>
    <x:font>
      <x:sz val="11"/>
      <x:color theme="0"/>
      <x:name val="Calibri"/>
    </x:font>
    <x:font>
      <x:sz val="11"/>
      <x:color theme="1"/>
      <x:name val="Calibri"/>
    </x:font>
    <x:font>
      <x:b/>
      <x:sz val="18"/>
      <x:color rgb="FFFFFFFF"/>
      <x:name val="Aptos Display"/>
    </x:font>
    <x:font>
      <x:i/>
      <x:sz val="9"/>
      <x:color rgb="FF6B7280"/>
      <x:name val="Aptos"/>
    </x:font>
    <x:font>
      <x:b/>
      <x:sz val="9"/>
      <x:color rgb="FFFFFFFF"/>
      <x:name val="Aptos"/>
    </x:font>
    <x:font>
      <x:sz val="8"/>
      <x:color rgb="FF0F0F0F"/>
      <x:name val="Aptos"/>
    </x:font>
    <x:font>
      <x:b/>
      <x:sz val="8"/>
      <x:color rgb="FF0F0F0F"/>
      <x:name val="Aptos"/>
    </x:font>
    <x:font>
      <x:sz val="9"/>
      <x:color rgb="FF0F0F0F"/>
      <x:name val="Aptos"/>
    </x:font>
    <x:font>
      <x:b/>
      <x:sz val="19"/>
      <x:color rgb="FFFFFFFF"/>
      <x:name val="Aptos Display"/>
    </x:font>
    <x:font>
      <x:b/>
      <x:sz val="9"/>
      <x:color rgb="FF0F0F0F"/>
      <x:name val="Aptos"/>
    </x:font>
    <x:font>
      <x:b/>
      <x:sz val="14"/>
      <x:color rgb="FF720D1C"/>
      <x:name val="Aptos Display"/>
    </x:font>
  </x:fonts>
  <x:fills count="43">
    <x:fill>
      <x:patternFill patternType="none"/>
    </x:fill>
    <x:fill>
      <x:patternFill patternType="gray125"/>
    </x:fill>
    <x:fill>
      <x:patternFill patternType="solid">
        <x:fgColor rgb="FF0B0B0C"/>
      </x:patternFill>
    </x:fill>
    <x:fill>
      <x:patternFill patternType="solid">
        <x:fgColor rgb="FFF7F7F5"/>
      </x:patternFill>
    </x:fill>
    <x:fill>
      <x:patternFill patternType="solid">
        <x:fgColor rgb="FF720D1C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0B0B0C"/>
      </x:patternFill>
    </x:fill>
    <x:fill>
      <x:patternFill patternType="solid">
        <x:fgColor rgb="FFF4F3F1"/>
      </x:patternFill>
    </x:fill>
    <x:fill>
      <x:patternFill patternType="solid">
        <x:fgColor rgb="FF720D1C"/>
      </x:patternFill>
    </x:fill>
    <x:fill>
      <x:patternFill patternType="solid">
        <x:fgColor rgb="FFE7F5EC"/>
      </x:patternFill>
    </x:fill>
    <x:fill>
      <x:patternFill patternType="solid">
        <x:fgColor rgb="FFE8F1FA"/>
      </x:patternFill>
    </x:fill>
    <x:fill>
      <x:patternFill patternType="solid">
        <x:fgColor rgb="FFF9E9EC"/>
      </x:patternFill>
    </x:fill>
    <x:fill>
      <x:patternFill patternType="solid">
        <x:fgColor rgb="FFFFF4CC"/>
      </x:patternFill>
    </x:fill>
  </x:fills>
  <x:borders count="12">
    <x:border/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  <x:border>
      <x:left style="thin">
        <x:color rgb="FF720D1C"/>
      </x:left>
      <x:right style="thin">
        <x:color rgb="FF720D1C"/>
      </x:right>
      <x:top style="thin">
        <x:color rgb="FF720D1C"/>
      </x:top>
      <x:bottom style="thin">
        <x:color rgb="FF720D1C"/>
      </x:bottom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</x:borders>
  <x:cellStyleXfs count="49">
    <x:xf numFmtId="0" fontId="0" fillId="0" borderId="0"/>
    <x:xf numFmtId="176" fontId="9" fillId="0" borderId="0" applyFont="0" applyFill="0" applyBorder="0" applyAlignment="0" applyProtection="0">
      <x:alignment vertical="center"/>
    </x:xf>
    <x:xf numFmtId="177" fontId="9" fillId="0" borderId="0" applyFont="0" applyFill="0" applyBorder="0" applyAlignment="0" applyProtection="0">
      <x:alignment vertical="center"/>
    </x:xf>
    <x:xf numFmtId="9" fontId="9" fillId="0" borderId="0" applyFont="0" applyFill="0" applyBorder="0" applyAlignment="0" applyProtection="0">
      <x:alignment vertical="center"/>
    </x:xf>
    <x:xf numFmtId="178" fontId="9" fillId="0" borderId="0" applyFont="0" applyFill="0" applyBorder="0" applyAlignment="0" applyProtection="0">
      <x:alignment vertical="center"/>
    </x:xf>
    <x:xf numFmtId="179" fontId="9" fillId="0" borderId="0" applyFont="0" applyFill="0" applyBorder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11" fillId="0" borderId="0" applyNumberFormat="0" applyFill="0" applyBorder="0" applyAlignment="0" applyProtection="0">
      <x:alignment vertical="center"/>
    </x:xf>
    <x:xf numFmtId="0" fontId="9" fillId="5" borderId="1" applyNumberFormat="0" applyFont="0" applyAlignment="0" applyProtection="0">
      <x:alignment vertical="center"/>
    </x:xf>
    <x:xf numFmtId="0" fontId="12" fillId="0" borderId="0" applyNumberFormat="0" applyFill="0" applyBorder="0" applyAlignment="0" applyProtection="0">
      <x:alignment vertical="center"/>
    </x:xf>
    <x:xf numFmtId="0" fontId="13" fillId="0" borderId="0" applyNumberFormat="0" applyFill="0" applyBorder="0" applyAlignment="0" applyProtection="0">
      <x:alignment vertical="center"/>
    </x:xf>
    <x:xf numFmtId="0" fontId="14" fillId="0" borderId="0" applyNumberFormat="0" applyFill="0" applyBorder="0" applyAlignment="0" applyProtection="0">
      <x:alignment vertical="center"/>
    </x:xf>
    <x:xf numFmtId="0" fontId="15" fillId="0" borderId="2" applyNumberFormat="0" applyFill="0" applyAlignment="0" applyProtection="0">
      <x:alignment vertical="center"/>
    </x:xf>
    <x:xf numFmtId="0" fontId="16" fillId="0" borderId="2" applyNumberFormat="0" applyFill="0" applyAlignment="0" applyProtection="0">
      <x:alignment vertical="center"/>
    </x:xf>
    <x:xf numFmtId="0" fontId="17" fillId="0" borderId="3" applyNumberFormat="0" applyFill="0" applyAlignment="0" applyProtection="0">
      <x:alignment vertical="center"/>
    </x:xf>
    <x:xf numFmtId="0" fontId="17" fillId="0" borderId="0" applyNumberFormat="0" applyFill="0" applyBorder="0" applyAlignment="0" applyProtection="0">
      <x:alignment vertical="center"/>
    </x:xf>
    <x:xf numFmtId="0" fontId="18" fillId="6" borderId="4" applyNumberFormat="0" applyAlignment="0" applyProtection="0">
      <x:alignment vertical="center"/>
    </x:xf>
    <x:xf numFmtId="0" fontId="19" fillId="7" borderId="5" applyNumberFormat="0" applyAlignment="0" applyProtection="0">
      <x:alignment vertical="center"/>
    </x:xf>
    <x:xf numFmtId="0" fontId="20" fillId="7" borderId="4" applyNumberFormat="0" applyAlignment="0" applyProtection="0">
      <x:alignment vertical="center"/>
    </x:xf>
    <x:xf numFmtId="0" fontId="21" fillId="8" borderId="6" applyNumberFormat="0" applyAlignment="0" applyProtection="0">
      <x:alignment vertical="center"/>
    </x:xf>
    <x:xf numFmtId="0" fontId="22" fillId="0" borderId="7" applyNumberFormat="0" applyFill="0" applyAlignment="0" applyProtection="0">
      <x:alignment vertical="center"/>
    </x:xf>
    <x:xf numFmtId="0" fontId="23" fillId="0" borderId="8" applyNumberFormat="0" applyFill="0" applyAlignment="0" applyProtection="0">
      <x:alignment vertical="center"/>
    </x:xf>
    <x:xf numFmtId="0" fontId="24" fillId="9" borderId="0" applyNumberFormat="0" applyBorder="0" applyAlignment="0" applyProtection="0">
      <x:alignment vertical="center"/>
    </x:xf>
    <x:xf numFmtId="0" fontId="25" fillId="10" borderId="0" applyNumberFormat="0" applyBorder="0" applyAlignment="0" applyProtection="0">
      <x:alignment vertical="center"/>
    </x:xf>
    <x:xf numFmtId="0" fontId="26" fillId="11" borderId="0" applyNumberFormat="0" applyBorder="0" applyAlignment="0" applyProtection="0">
      <x:alignment vertical="center"/>
    </x:xf>
    <x:xf numFmtId="0" fontId="27" fillId="12" borderId="0" applyNumberFormat="0" applyBorder="0" applyAlignment="0" applyProtection="0">
      <x:alignment vertical="center"/>
    </x:xf>
    <x:xf numFmtId="0" fontId="28" fillId="13" borderId="0" applyNumberFormat="0" applyBorder="0" applyAlignment="0" applyProtection="0">
      <x:alignment vertical="center"/>
    </x:xf>
    <x:xf numFmtId="0" fontId="28" fillId="14" borderId="0" applyNumberFormat="0" applyBorder="0" applyAlignment="0" applyProtection="0">
      <x:alignment vertical="center"/>
    </x:xf>
    <x:xf numFmtId="0" fontId="27" fillId="15" borderId="0" applyNumberFormat="0" applyBorder="0" applyAlignment="0" applyProtection="0">
      <x:alignment vertical="center"/>
    </x:xf>
    <x:xf numFmtId="0" fontId="27" fillId="16" borderId="0" applyNumberFormat="0" applyBorder="0" applyAlignment="0" applyProtection="0">
      <x:alignment vertical="center"/>
    </x:xf>
    <x:xf numFmtId="0" fontId="28" fillId="17" borderId="0" applyNumberFormat="0" applyBorder="0" applyAlignment="0" applyProtection="0">
      <x:alignment vertical="center"/>
    </x:xf>
    <x:xf numFmtId="0" fontId="28" fillId="18" borderId="0" applyNumberFormat="0" applyBorder="0" applyAlignment="0" applyProtection="0">
      <x:alignment vertical="center"/>
    </x:xf>
    <x:xf numFmtId="0" fontId="27" fillId="19" borderId="0" applyNumberFormat="0" applyBorder="0" applyAlignment="0" applyProtection="0">
      <x:alignment vertical="center"/>
    </x:xf>
    <x:xf numFmtId="0" fontId="27" fillId="20" borderId="0" applyNumberFormat="0" applyBorder="0" applyAlignment="0" applyProtection="0">
      <x:alignment vertical="center"/>
    </x:xf>
    <x:xf numFmtId="0" fontId="28" fillId="21" borderId="0" applyNumberFormat="0" applyBorder="0" applyAlignment="0" applyProtection="0">
      <x:alignment vertical="center"/>
    </x:xf>
    <x:xf numFmtId="0" fontId="28" fillId="22" borderId="0" applyNumberFormat="0" applyBorder="0" applyAlignment="0" applyProtection="0">
      <x:alignment vertical="center"/>
    </x:xf>
    <x:xf numFmtId="0" fontId="27" fillId="23" borderId="0" applyNumberFormat="0" applyBorder="0" applyAlignment="0" applyProtection="0">
      <x:alignment vertical="center"/>
    </x:xf>
    <x:xf numFmtId="0" fontId="27" fillId="24" borderId="0" applyNumberFormat="0" applyBorder="0" applyAlignment="0" applyProtection="0">
      <x:alignment vertical="center"/>
    </x:xf>
    <x:xf numFmtId="0" fontId="28" fillId="25" borderId="0" applyNumberFormat="0" applyBorder="0" applyAlignment="0" applyProtection="0">
      <x:alignment vertical="center"/>
    </x:xf>
    <x:xf numFmtId="0" fontId="28" fillId="26" borderId="0" applyNumberFormat="0" applyBorder="0" applyAlignment="0" applyProtection="0">
      <x:alignment vertical="center"/>
    </x:xf>
    <x:xf numFmtId="0" fontId="27" fillId="27" borderId="0" applyNumberFormat="0" applyBorder="0" applyAlignment="0" applyProtection="0">
      <x:alignment vertical="center"/>
    </x:xf>
    <x:xf numFmtId="0" fontId="27" fillId="28" borderId="0" applyNumberFormat="0" applyBorder="0" applyAlignment="0" applyProtection="0">
      <x:alignment vertical="center"/>
    </x:xf>
    <x:xf numFmtId="0" fontId="28" fillId="29" borderId="0" applyNumberFormat="0" applyBorder="0" applyAlignment="0" applyProtection="0">
      <x:alignment vertical="center"/>
    </x:xf>
    <x:xf numFmtId="0" fontId="28" fillId="30" borderId="0" applyNumberFormat="0" applyBorder="0" applyAlignment="0" applyProtection="0">
      <x:alignment vertical="center"/>
    </x:xf>
    <x:xf numFmtId="0" fontId="27" fillId="31" borderId="0" applyNumberFormat="0" applyBorder="0" applyAlignment="0" applyProtection="0">
      <x:alignment vertical="center"/>
    </x:xf>
    <x:xf numFmtId="0" fontId="27" fillId="32" borderId="0" applyNumberFormat="0" applyBorder="0" applyAlignment="0" applyProtection="0">
      <x:alignment vertical="center"/>
    </x:xf>
    <x:xf numFmtId="0" fontId="28" fillId="33" borderId="0" applyNumberFormat="0" applyBorder="0" applyAlignment="0" applyProtection="0">
      <x:alignment vertical="center"/>
    </x:xf>
    <x:xf numFmtId="0" fontId="28" fillId="34" borderId="0" applyNumberFormat="0" applyBorder="0" applyAlignment="0" applyProtection="0">
      <x:alignment vertical="center"/>
    </x:xf>
    <x:xf numFmtId="0" fontId="27" fillId="35" borderId="0" applyNumberFormat="0" applyBorder="0" applyAlignment="0" applyProtection="0">
      <x:alignment vertical="center"/>
    </x:xf>
  </x:cellStyleXfs>
  <x:cellXfs count="99">
    <x:xf numFmtId="0" fontId="0" fillId="0" borderId="0" xfId="0"/>
    <x:xf numFmtId="0" fontId="1" fillId="2" borderId="0" xfId="0" applyNumberFormat="1" applyFont="1" applyFill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left" vertical="center"/>
    </x:xf>
    <x:xf numFmtId="0" fontId="2" fillId="3" borderId="0" xfId="0" applyNumberFormat="1" applyFont="1" applyFill="1" applyAlignment="1">
      <x:alignment horizontal="center" wrapText="1"/>
    </x:xf>
    <x:xf numFmtId="0" fontId="2" fillId="0" borderId="0" xfId="0" applyNumberFormat="1" applyFont="1" applyFill="1" applyBorder="1" applyAlignment="1">
      <x:alignment wrapText="1"/>
    </x:xf>
    <x:xf numFmtId="0" fontId="0" fillId="0" borderId="0" xfId="0" applyFill="1"/>
    <x:xf numFmtId="0" fontId="3" fillId="4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 applyAlignment="1">
      <x:alignment vertical="top" wrapText="1"/>
    </x:xf>
    <x:xf numFmtId="0" fontId="0" fillId="0" borderId="0" xfId="0" applyAlignment="1">
      <x:alignment horizontal="center"/>
    </x:xf>
    <x:xf numFmtId="0" fontId="0" fillId="0" borderId="0" xfId="0" applyAlignment="1">
      <x:alignment horizontal="center" vertical="center"/>
    </x:xf>
    <x:xf numFmtId="0" fontId="2" fillId="3" borderId="0" xfId="0" applyNumberFormat="1" applyFont="1" applyFill="1" applyAlignment="1">
      <x:alignment horizontal="center" vertical="center" wrapText="1"/>
    </x:xf>
    <x:xf numFmtId="0" fontId="5" fillId="4" borderId="0" xfId="0" applyNumberFormat="1" applyFont="1" applyFill="1" applyBorder="1" applyAlignment="1">
      <x:alignment horizontal="center" vertical="center" wrapText="1"/>
    </x:xf>
    <x:xf numFmtId="0" fontId="6" fillId="4" borderId="0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 applyAlignment="1">
      <x:alignment vertical="top" wrapText="1"/>
    </x:xf>
    <x:xf numFmtId="0" fontId="8" fillId="0" borderId="0" xfId="0" applyNumberFormat="1" applyFont="1" applyFill="1" applyBorder="1" applyAlignment="1">
      <x:alignment horizontal="center" vertical="top" wrapText="1"/>
    </x:xf>
    <x:xf numFmtId="0" fontId="7" fillId="0" borderId="0" xfId="0" applyNumberFormat="1" applyFont="1" applyFill="1" applyBorder="1"/>
    <x:xf numFmtId="0" fontId="8" fillId="0" borderId="0" xfId="0" applyNumberFormat="1" applyFont="1" applyFill="1" applyBorder="1"/>
    <x:xf numFmtId="0" fontId="1" fillId="36" borderId="0" xfId="0" applyNumberFormat="1" applyFont="1" applyFill="1" applyBorder="1" applyAlignment="1">
      <x:alignment horizontal="center" vertical="center"/>
    </x:xf>
    <x:xf numFmtId="0" fontId="29" fillId="36" borderId="0" xfId="0" applyNumberFormat="1" applyFont="1" applyFill="1" applyBorder="1" applyAlignment="1">
      <x:alignment horizontal="center" vertical="center"/>
    </x:xf>
    <x:xf numFmtId="0" fontId="0" fillId="37" borderId="0" xfId="0" applyNumberFormat="1" applyFont="1" applyFill="1" applyBorder="1" applyAlignment="1">
      <x:alignment horizontal="center" vertical="center"/>
    </x:xf>
    <x:xf numFmtId="0" fontId="30" fillId="37" borderId="0" xfId="0" applyNumberFormat="1" applyFont="1" applyFill="1" applyBorder="1" applyAlignment="1">
      <x:alignment horizontal="center" vertical="center"/>
    </x:xf>
    <x:xf numFmtId="0" fontId="3" fillId="38" borderId="0" xfId="0" applyNumberFormat="1" applyFont="1" applyFill="1" applyBorder="1" applyAlignment="1">
      <x:alignment horizontal="center" vertical="center" wrapText="1"/>
    </x:xf>
    <x:xf numFmtId="0" fontId="31" fillId="38" borderId="0" xfId="0" applyNumberFormat="1" applyFont="1" applyFill="1" applyBorder="1" applyAlignment="1">
      <x:alignment horizontal="center" vertical="center" wrapText="1"/>
    </x:xf>
    <x:xf numFmtId="0" fontId="31" fillId="38" borderId="9" xfId="0" applyNumberFormat="1" applyFont="1" applyFill="1" applyBorder="1" applyAlignment="1">
      <x:alignment horizontal="center" vertical="center" wrapText="1"/>
    </x:xf>
    <x:xf numFmtId="0" fontId="32" fillId="0" borderId="0" xfId="0" applyNumberFormat="1" applyFont="1" applyFill="1" applyBorder="1" applyAlignment="1">
      <x:alignment vertical="top" wrapText="1"/>
    </x:xf>
    <x:xf numFmtId="0" fontId="32" fillId="0" borderId="10" xfId="0" applyNumberFormat="1" applyFont="1" applyFill="1" applyBorder="1" applyAlignment="1">
      <x:alignment vertical="top" wrapText="1"/>
    </x:xf>
    <x:xf numFmtId="0" fontId="32" fillId="0" borderId="11" xfId="0" applyNumberFormat="1" applyFont="1" applyFill="1" applyBorder="1" applyAlignment="1">
      <x:alignment vertical="top" wrapText="1"/>
    </x:xf>
    <x:xf numFmtId="0" fontId="32" fillId="0" borderId="10" xfId="0" applyNumberFormat="1" applyFont="1" applyFill="1" applyBorder="1" applyAlignment="1">
      <x:alignment vertical="center" wrapText="1"/>
    </x:xf>
    <x:xf numFmtId="0" fontId="32" fillId="0" borderId="11" xfId="0" applyNumberFormat="1" applyFont="1" applyFill="1" applyBorder="1" applyAlignment="1">
      <x:alignment vertical="center" wrapText="1"/>
    </x:xf>
    <x:xf numFmtId="0" fontId="32" fillId="39" borderId="10" xfId="0" applyNumberFormat="1" applyFont="1" applyFill="1" applyBorder="1" applyAlignment="1">
      <x:alignment vertical="center" wrapText="1"/>
    </x:xf>
    <x:xf numFmtId="0" fontId="33" fillId="39" borderId="10" xfId="0" applyNumberFormat="1" applyFont="1" applyFill="1" applyBorder="1" applyAlignment="1">
      <x:alignment vertical="center" wrapText="1"/>
    </x:xf>
    <x:xf numFmtId="0" fontId="32" fillId="40" borderId="11" xfId="0" applyNumberFormat="1" applyFont="1" applyFill="1" applyBorder="1" applyAlignment="1">
      <x:alignment vertical="center" wrapText="1"/>
    </x:xf>
    <x:xf numFmtId="0" fontId="33" fillId="40" borderId="11" xfId="0" applyNumberFormat="1" applyFont="1" applyFill="1" applyBorder="1" applyAlignment="1">
      <x:alignment vertical="center" wrapText="1"/>
    </x:xf>
    <x:xf numFmtId="0" fontId="32" fillId="41" borderId="11" xfId="0" applyNumberFormat="1" applyFont="1" applyFill="1" applyBorder="1" applyAlignment="1">
      <x:alignment vertical="center" wrapText="1"/>
    </x:xf>
    <x:xf numFmtId="0" fontId="33" fillId="41" borderId="11" xfId="0" applyNumberFormat="1" applyFont="1" applyFill="1" applyBorder="1" applyAlignment="1">
      <x:alignment vertical="center" wrapText="1"/>
    </x:xf>
    <x:xf numFmtId="0" fontId="0" fillId="37" borderId="0" xfId="0" applyNumberFormat="1" applyFont="1" applyFill="1" applyBorder="1" applyAlignment="1">
      <x:alignment horizontal="center"/>
    </x:xf>
    <x:xf numFmtId="0" fontId="30" fillId="37" borderId="0" xfId="0" applyNumberFormat="1" applyFont="1" applyFill="1" applyBorder="1" applyAlignment="1">
      <x:alignment horizontal="center"/>
    </x:xf>
    <x:xf numFmtId="0" fontId="34" fillId="0" borderId="0" xfId="0" applyNumberFormat="1" applyFont="1" applyFill="1" applyBorder="1" applyAlignment="1">
      <x:alignment vertical="top" wrapText="1"/>
    </x:xf>
    <x:xf numFmtId="0" fontId="34" fillId="0" borderId="10" xfId="0" applyNumberFormat="1" applyFont="1" applyFill="1" applyBorder="1" applyAlignment="1">
      <x:alignment vertical="top" wrapText="1"/>
    </x:xf>
    <x:xf numFmtId="0" fontId="34" fillId="0" borderId="11" xfId="0" applyNumberFormat="1" applyFont="1" applyFill="1" applyBorder="1" applyAlignment="1">
      <x:alignment vertical="top" wrapText="1"/>
    </x:xf>
    <x:xf numFmtId="0" fontId="34" fillId="0" borderId="10" xfId="0" applyNumberFormat="1" applyFont="1" applyFill="1" applyBorder="1" applyAlignment="1">
      <x:alignment vertical="center" wrapText="1"/>
    </x:xf>
    <x:xf numFmtId="0" fontId="34" fillId="0" borderId="11" xfId="0" applyNumberFormat="1" applyFont="1" applyFill="1" applyBorder="1" applyAlignment="1">
      <x:alignment vertical="center" wrapText="1"/>
    </x:xf>
    <x:xf numFmtId="0" fontId="34" fillId="39" borderId="10" xfId="0" applyNumberFormat="1" applyFont="1" applyFill="1" applyBorder="1" applyAlignment="1">
      <x:alignment vertical="center" wrapText="1"/>
    </x:xf>
    <x:xf numFmtId="0" fontId="34" fillId="40" borderId="11" xfId="0" applyNumberFormat="1" applyFont="1" applyFill="1" applyBorder="1" applyAlignment="1">
      <x:alignment vertical="center" wrapText="1"/>
    </x:xf>
    <x:xf numFmtId="0" fontId="34" fillId="39" borderId="11" xfId="0" applyNumberFormat="1" applyFont="1" applyFill="1" applyBorder="1" applyAlignment="1">
      <x:alignment vertical="center" wrapText="1"/>
    </x:xf>
    <x:xf numFmtId="0" fontId="33" fillId="39" borderId="11" xfId="0" applyNumberFormat="1" applyFont="1" applyFill="1" applyBorder="1" applyAlignment="1">
      <x:alignment vertical="center" wrapText="1"/>
    </x:xf>
    <x:xf numFmtId="0" fontId="34" fillId="41" borderId="11" xfId="0" applyNumberFormat="1" applyFont="1" applyFill="1" applyBorder="1" applyAlignment="1">
      <x:alignment vertical="center" wrapText="1"/>
    </x:xf>
    <x:xf numFmtId="0" fontId="32" fillId="39" borderId="11" xfId="0" applyNumberFormat="1" applyFont="1" applyFill="1" applyBorder="1" applyAlignment="1">
      <x:alignment vertical="center" wrapText="1"/>
    </x:xf>
    <x:xf numFmtId="0" fontId="1" fillId="36" borderId="0" xfId="0" applyNumberFormat="1" applyFont="1" applyFill="1" applyBorder="1" applyAlignment="1">
      <x:alignment horizontal="left" vertical="center"/>
    </x:xf>
    <x:xf numFmtId="0" fontId="29" fillId="36" borderId="0" xfId="0" applyNumberFormat="1" applyFont="1" applyFill="1" applyBorder="1" applyAlignment="1">
      <x:alignment horizontal="left" vertical="center"/>
    </x:xf>
    <x:xf numFmtId="0" fontId="0" fillId="37" borderId="0" xfId="0" applyNumberFormat="1" applyFont="1" applyFill="1" applyBorder="1"/>
    <x:xf numFmtId="0" fontId="30" fillId="37" borderId="0" xfId="0" applyNumberFormat="1" applyFont="1" applyFill="1" applyBorder="1"/>
    <x:xf numFmtId="0" fontId="30" fillId="37" borderId="0" xfId="0" applyNumberFormat="1" applyFont="1" applyFill="1" applyBorder="1" applyAlignment="1">
      <x:alignment vertical="center"/>
    </x:xf>
    <x:xf numFmtId="0" fontId="0" fillId="38" borderId="0" xfId="0" applyNumberFormat="1" applyFont="1" applyFill="1" applyBorder="1"/>
    <x:xf numFmtId="0" fontId="31" fillId="38" borderId="0" xfId="0" applyNumberFormat="1" applyFont="1" applyFill="1" applyBorder="1"/>
    <x:xf numFmtId="0" fontId="31" fillId="38" borderId="9" xfId="0" applyNumberFormat="1" applyFont="1" applyFill="1" applyBorder="1"/>
    <x:xf numFmtId="0" fontId="31" fillId="38" borderId="9" xfId="0" applyNumberFormat="1" applyFont="1" applyFill="1" applyBorder="1" applyAlignment="1">
      <x:alignment wrapText="1"/>
    </x:xf>
    <x:xf numFmtId="0" fontId="31" fillId="38" borderId="9" xfId="0" applyNumberFormat="1" applyFont="1" applyFill="1" applyBorder="1" applyAlignment="1">
      <x:alignment vertical="center" wrapText="1"/>
    </x:xf>
    <x:xf numFmtId="0" fontId="32" fillId="0" borderId="0" xfId="0" applyNumberFormat="1" applyFont="1" applyFill="1" applyBorder="1"/>
    <x:xf numFmtId="0" fontId="32" fillId="0" borderId="10" xfId="0" applyNumberFormat="1" applyFont="1" applyFill="1" applyBorder="1"/>
    <x:xf numFmtId="0" fontId="32" fillId="0" borderId="11" xfId="0" applyNumberFormat="1" applyFont="1" applyFill="1" applyBorder="1"/>
    <x:xf numFmtId="0" fontId="32" fillId="0" borderId="10" xfId="0" applyNumberFormat="1" applyFont="1" applyFill="1" applyBorder="1" applyAlignment="1">
      <x:alignment wrapText="1"/>
    </x:xf>
    <x:xf numFmtId="0" fontId="32" fillId="0" borderId="11" xfId="0" applyNumberFormat="1" applyFont="1" applyFill="1" applyBorder="1" applyAlignment="1">
      <x:alignment wrapText="1"/>
    </x:xf>
    <x:xf numFmtId="0" fontId="35" fillId="36" borderId="0" xfId="0" applyNumberFormat="1" applyFont="1" applyFill="1" applyBorder="1" applyAlignment="1">
      <x:alignment horizontal="center" vertical="center"/>
    </x:xf>
    <x:xf numFmtId="0" fontId="35" fillId="36" borderId="0" xfId="0" applyNumberFormat="1" applyFont="1" applyFill="1" applyBorder="1" applyAlignment="1">
      <x:alignment horizontal="left" vertical="center"/>
    </x:xf>
    <x:xf numFmtId="0" fontId="2" fillId="37" borderId="0" xfId="0" applyNumberFormat="1" applyFont="1" applyFill="1" applyBorder="1" applyAlignment="1">
      <x:alignment horizontal="center" vertical="center" wrapText="1"/>
    </x:xf>
    <x:xf numFmtId="0" fontId="2" fillId="37" borderId="0" xfId="0" applyNumberFormat="1" applyFont="1" applyFill="1" applyBorder="1" applyAlignment="1">
      <x:alignment wrapText="1"/>
    </x:xf>
    <x:xf numFmtId="0" fontId="30" fillId="37" borderId="0" xfId="0" applyNumberFormat="1" applyFont="1" applyFill="1" applyBorder="1" applyAlignment="1">
      <x:alignment horizontal="center" vertical="center" wrapText="1"/>
    </x:xf>
    <x:xf numFmtId="0" fontId="30" fillId="37" borderId="0" xfId="0" applyNumberFormat="1" applyFont="1" applyFill="1" applyBorder="1" applyAlignment="1">
      <x:alignment wrapText="1"/>
    </x:xf>
    <x:xf numFmtId="0" fontId="5" fillId="38" borderId="0" xfId="0" applyNumberFormat="1" applyFont="1" applyFill="1" applyBorder="1" applyAlignment="1">
      <x:alignment horizontal="center" vertical="center" wrapText="1"/>
    </x:xf>
    <x:xf numFmtId="0" fontId="6" fillId="38" borderId="0" xfId="0" applyNumberFormat="1" applyFont="1" applyFill="1" applyBorder="1" applyAlignment="1">
      <x:alignment horizontal="center" vertical="center" wrapText="1"/>
    </x:xf>
    <x:xf numFmtId="0" fontId="36" fillId="0" borderId="0" xfId="0" applyNumberFormat="1" applyFont="1" applyFill="1" applyBorder="1" applyAlignment="1">
      <x:alignment horizontal="center" vertical="top" wrapText="1"/>
    </x:xf>
    <x:xf numFmtId="0" fontId="36" fillId="0" borderId="10" xfId="0" applyNumberFormat="1" applyFont="1" applyFill="1" applyBorder="1" applyAlignment="1">
      <x:alignment horizontal="center" vertical="top" wrapText="1"/>
    </x:xf>
    <x:xf numFmtId="0" fontId="36" fillId="0" borderId="11" xfId="0" applyNumberFormat="1" applyFont="1" applyFill="1" applyBorder="1" applyAlignment="1">
      <x:alignment horizontal="center" vertical="top" wrapText="1"/>
    </x:xf>
    <x:xf numFmtId="0" fontId="36" fillId="0" borderId="10" xfId="0" applyNumberFormat="1" applyFont="1" applyFill="1" applyBorder="1" applyAlignment="1">
      <x:alignment horizontal="center" vertical="center" wrapText="1"/>
    </x:xf>
    <x:xf numFmtId="0" fontId="36" fillId="0" borderId="11" xfId="0" applyNumberFormat="1" applyFont="1" applyFill="1" applyBorder="1" applyAlignment="1">
      <x:alignment horizontal="center" vertical="center" wrapText="1"/>
    </x:xf>
    <x:xf numFmtId="0" fontId="36" fillId="39" borderId="10" xfId="0" applyNumberFormat="1" applyFont="1" applyFill="1" applyBorder="1" applyAlignment="1">
      <x:alignment horizontal="center" vertical="center" wrapText="1"/>
    </x:xf>
    <x:xf numFmtId="0" fontId="36" fillId="39" borderId="11" xfId="0" applyNumberFormat="1" applyFont="1" applyFill="1" applyBorder="1" applyAlignment="1">
      <x:alignment horizontal="center" vertical="center" wrapText="1"/>
    </x:xf>
    <x:xf numFmtId="0" fontId="37" fillId="39" borderId="10" xfId="0" applyNumberFormat="1" applyFont="1" applyFill="1" applyBorder="1" applyAlignment="1">
      <x:alignment horizontal="center" vertical="center" wrapText="1"/>
    </x:xf>
    <x:xf numFmtId="0" fontId="37" fillId="39" borderId="11" xfId="0" applyNumberFormat="1" applyFont="1" applyFill="1" applyBorder="1" applyAlignment="1">
      <x:alignment horizontal="center" vertical="center" wrapText="1"/>
    </x:xf>
    <x:xf numFmtId="0" fontId="7" fillId="42" borderId="0" xfId="0" applyNumberFormat="1" applyFont="1" applyFill="1" applyBorder="1"/>
    <x:xf numFmtId="0" fontId="8" fillId="42" borderId="0" xfId="0" applyNumberFormat="1" applyFont="1" applyFill="1" applyBorder="1"/>
    <x:xf numFmtId="0" fontId="0" fillId="42" borderId="0" xfId="0" applyNumberFormat="1" applyFont="1" applyFill="1" applyBorder="1"/>
    <x:xf numFmtId="0" fontId="34" fillId="42" borderId="0" xfId="0" applyNumberFormat="1" applyFont="1" applyFill="1" applyBorder="1"/>
    <x:xf numFmtId="0" fontId="36" fillId="42" borderId="0" xfId="0" applyNumberFormat="1" applyFont="1" applyFill="1" applyBorder="1"/>
    <x:xf numFmtId="0" fontId="34" fillId="42" borderId="0" xfId="0" applyNumberFormat="1" applyFont="1" applyFill="1" applyBorder="1" applyAlignment="1">
      <x:alignment wrapText="1"/>
    </x:xf>
    <x:xf numFmtId="0" fontId="36" fillId="42" borderId="0" xfId="0" applyNumberFormat="1" applyFont="1" applyFill="1" applyBorder="1" applyAlignment="1">
      <x:alignment wrapText="1"/>
    </x:xf>
    <x:xf numFmtId="0" fontId="34" fillId="42" borderId="0" xfId="0" applyNumberFormat="1" applyFont="1" applyFill="1" applyBorder="1" applyAlignment="1">
      <x:alignment vertical="center" wrapText="1"/>
    </x:xf>
    <x:xf numFmtId="0" fontId="36" fillId="42" borderId="0" xfId="0" applyNumberFormat="1" applyFont="1" applyFill="1" applyBorder="1" applyAlignment="1">
      <x:alignment vertical="center" wrapText="1"/>
    </x:xf>
    <x:xf numFmtId="0" fontId="34" fillId="38" borderId="0" xfId="0" applyNumberFormat="1" applyFont="1" applyFill="1" applyBorder="1" applyAlignment="1">
      <x:alignment vertical="center" wrapText="1"/>
    </x:xf>
    <x:xf numFmtId="0" fontId="31" fillId="38" borderId="0" xfId="0" applyNumberFormat="1" applyFont="1" applyFill="1" applyBorder="1" applyAlignment="1">
      <x:alignment vertical="center" wrapText="1"/>
    </x:xf>
    <x:xf numFmtId="0" fontId="2" fillId="37" borderId="0" xfId="0" applyNumberFormat="1" applyFont="1" applyFill="1" applyBorder="1" applyAlignment="1">
      <x:alignment horizontal="center" wrapText="1"/>
    </x:xf>
    <x:xf numFmtId="0" fontId="30" fillId="37" borderId="0" xfId="0" applyNumberFormat="1" applyFont="1" applyFill="1" applyBorder="1" applyAlignment="1">
      <x:alignment horizontal="center" wrapText="1"/>
    </x:xf>
    <x:xf numFmtId="0" fontId="30" fillId="37" borderId="0" xfId="0" applyNumberFormat="1" applyFont="1" applyFill="1" applyBorder="1" applyAlignment="1">
      <x:alignment vertical="center" wrapText="1"/>
    </x:xf>
    <x:xf numFmtId="0" fontId="34" fillId="0" borderId="0" xfId="0" applyNumberFormat="1" applyFont="1" applyFill="1" applyBorder="1"/>
    <x:xf numFmtId="0" fontId="34" fillId="0" borderId="10" xfId="0" applyNumberFormat="1" applyFont="1" applyFill="1" applyBorder="1"/>
    <x:xf numFmtId="0" fontId="34" fillId="0" borderId="11" xfId="0" applyNumberFormat="1" applyFont="1" applyFill="1" applyBorder="1"/>
    <x:xf numFmtId="0" fontId="34" fillId="0" borderId="10" xfId="0" applyNumberFormat="1" applyFont="1" applyFill="1" applyBorder="1" applyAlignment="1">
      <x:alignment wrapText="1"/>
    </x:xf>
    <x:xf numFmtId="0" fontId="34" fillId="0" borderId="11" xfId="0" applyNumberFormat="1" applyFont="1" applyFill="1" applyBorder="1" applyAlignment="1">
      <x:alignment wrapText="1"/>
    </x:xf>
  </x:cellXfs>
  <x:cellStyles count="49">
    <x:cellStyle name="Normal" xfId="0"/>
    <x:cellStyle name="Comma" xfId="1"/>
    <x:cellStyle name="Currency" xfId="2"/>
    <x:cellStyle name="Percent" xfId="3"/>
    <x:cellStyle name="Comma [0]" xfId="4"/>
    <x:cellStyle name="Currency [0]" xfId="5"/>
    <x:cellStyle name="Link" xfId="6"/>
    <x:cellStyle name="Followed Hyperlink" xfId="7"/>
    <x:cellStyle name="Note" xfId="8"/>
    <x:cellStyle name="Warning Text" xfId="9"/>
    <x:cellStyle name="Title" xfId="10"/>
    <x:cellStyle name="Explanatory Text" xfId="11"/>
    <x:cellStyle name="Heading 1" xfId="12"/>
    <x:cellStyle name="Heading 2" xfId="13"/>
    <x:cellStyle name="Heading 3" xfId="14"/>
    <x:cellStyle name="Heading 4" xfId="15"/>
    <x:cellStyle name="Input" xfId="16"/>
    <x:cellStyle name="Output" xfId="17"/>
    <x:cellStyle name="Calculation" xfId="18"/>
    <x:cellStyle name="Check Cell" xfId="19"/>
    <x:cellStyle name="Linked Cell" xfId="20"/>
    <x:cellStyle name="Total" xfId="21"/>
    <x:cellStyle name="Good" xfId="22"/>
    <x:cellStyle name="Bad" xfId="23"/>
    <x:cellStyle name="Neutral" xfId="24"/>
    <x:cellStyle name="Accent1" xfId="25"/>
    <x:cellStyle name="20% - Accent1" xfId="26"/>
    <x:cellStyle name="40% - Accent1" xfId="27"/>
    <x:cellStyle name="60% - Accent1" xfId="28"/>
    <x:cellStyle name="Accent2" xfId="29"/>
    <x:cellStyle name="20% - Accent2" xfId="30"/>
    <x:cellStyle name="40% - Accent2" xfId="31"/>
    <x:cellStyle name="60% - Accent2" xfId="32"/>
    <x:cellStyle name="Accent3" xfId="33"/>
    <x:cellStyle name="20% - Accent3" xfId="34"/>
    <x:cellStyle name="40% - Accent3" xfId="35"/>
    <x:cellStyle name="60% - Accent3" xfId="36"/>
    <x:cellStyle name="Accent4" xfId="37"/>
    <x:cellStyle name="20% - Accent4" xfId="38"/>
    <x:cellStyle name="40% - Accent4" xfId="39"/>
    <x:cellStyle name="60% - Accent4" xfId="40"/>
    <x:cellStyle name="Accent5" xfId="41"/>
    <x:cellStyle name="20% - Accent5" xfId="42"/>
    <x:cellStyle name="40% - Accent5" xfId="43"/>
    <x:cellStyle name="60% - Accent5" xfId="44"/>
    <x:cellStyle name="Accent6" xfId="45"/>
    <x:cellStyle name="20% - Accent6" xfId="46"/>
    <x:cellStyle name="40% - Accent6" xfId="47"/>
    <x:cellStyle name="60% - Accent6" xfId="48"/>
  </x:cellStyles>
  <x:dxfs count="18">
    <x:dxf/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532c41315da4ac6" /><Relationship Type="http://schemas.openxmlformats.org/officeDocument/2006/relationships/theme" Target="/xl/theme/theme1.xml" Id="Rc83bd476cccf4864" /><Relationship Type="http://schemas.openxmlformats.org/officeDocument/2006/relationships/sharedStrings" Target="/xl/sharedStrings.xml" Id="Rae86f4f04ff1498e" /><Relationship Type="http://schemas.openxmlformats.org/officeDocument/2006/relationships/worksheet" Target="/xl/worksheets/sheet1.xml" Id="R1f1afcd538c64a34" /><Relationship Type="http://schemas.openxmlformats.org/officeDocument/2006/relationships/worksheet" Target="/xl/worksheets/sheet2.xml" Id="R12ec6846cc904ebb" /><Relationship Type="http://schemas.openxmlformats.org/officeDocument/2006/relationships/worksheet" Target="/xl/worksheets/sheet3.xml" Id="Rcd6328d2a1304e6d" /><Relationship Type="http://schemas.openxmlformats.org/officeDocument/2006/relationships/worksheet" Target="/xl/worksheets/sheet4.xml" Id="R5aff2b6d95ca4ac2" /><Relationship Type="http://schemas.openxmlformats.org/officeDocument/2006/relationships/worksheet" Target="/xl/worksheets/sheet5.xml" Id="Rd4df0ca66c4c4260" /><Relationship Type="http://schemas.openxmlformats.org/officeDocument/2006/relationships/worksheet" Target="/xl/worksheets/sheet6.xml" Id="R5e71ce45c3644bcf" /><Relationship Type="http://schemas.openxmlformats.org/officeDocument/2006/relationships/worksheet" Target="/xl/worksheets/sheet7.xml" Id="R403ae23147914850" /><Relationship Type="http://schemas.openxmlformats.org/officeDocument/2006/relationships/worksheet" Target="/xl/worksheets/sheet8.xml" Id="R07c85e2c38ff4f87" /></Relationships>
</file>

<file path=xl/tables/table1.xml><?xml version="1.0" encoding="utf-8"?>
<x:table xmlns:x="http://schemas.openxmlformats.org/spreadsheetml/2006/main" id="1" name="DashboardTable" displayName="DashboardTable" ref="A4:C9">
  <x:tableColumns count="3">
    <x:tableColumn id="1" name="Metric"/>
    <x:tableColumn id="2" name="Value" dataDxfId="0"/>
    <x:tableColumn id="3" name="No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ct4MergeEvaluationTable" displayName="Act4MergeEvaluationTable" ref="A4:K24">
  <x:tableColumns count="11">
    <x:tableColumn id="1" name="ID"/>
    <x:tableColumn id="2" name="Halaman Awal"/>
    <x:tableColumn id="3" name="Kondisi"/>
    <x:tableColumn id="4" name="Masalah"/>
    <x:tableColumn id="5" name="Keputusan"/>
    <x:tableColumn id="6" name="Digabung dengan"/>
    <x:tableColumn id="7" name="Nama Akhir"/>
    <x:tableColumn id="8" name="Alasan"/>
    <x:tableColumn id="9" name="Dampak Informasi"/>
    <x:tableColumn id="10" name="Dasar"/>
    <x:tableColumn id="11" name="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FinalPageListTable" displayName="FinalPageListTable" ref="A4:F19">
  <x:tableColumns count="6">
    <x:tableColumn id="1" name="ID"/>
    <x:tableColumn id="2" name="Halaman"/>
    <x:tableColumn id="3" name="Jenis"/>
    <x:tableColumn id="4" name="Parent"/>
    <x:tableColumn id="5" name="Prioritas"/>
    <x:tableColumn id="6" name="Statu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Act5PageJobsTable" displayName="Act5PageJobsTable" ref="A4:I19">
  <x:tableColumns count="9">
    <x:tableColumn id="1" name="ID"/>
    <x:tableColumn id="2" name="Halaman"/>
    <x:tableColumn id="3" name="Pekerjaan Utama"/>
    <x:tableColumn id="4" name="Hasil Pengguna"/>
    <x:tableColumn id="5" name="Informasi Pendukung"/>
    <x:tableColumn id="6" name="Pekerjaan Sekunder"/>
    <x:tableColumn id="7" name="Keputusan"/>
    <x:tableColumn id="8" name="Dasar"/>
    <x:tableColumn id="9" name="Catatan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Act6PageQuestionsTable" displayName="Act6PageQuestionsTable" ref="A4:I19">
  <x:tableColumns count="9">
    <x:tableColumn id="1" name="ID"/>
    <x:tableColumn id="2" name="Halaman"/>
    <x:tableColumn id="3" name="Pertanyaan Utama"/>
    <x:tableColumn id="4" name="Pertanyaan Pendukung"/>
    <x:tableColumn id="5" name="Informasi Menjawab"/>
    <x:tableColumn id="6" name="Tersedia?"/>
    <x:tableColumn id="7" name="Kekurangan"/>
    <x:tableColumn id="8" name="Dasar"/>
    <x:tableColumn id="9" name="Statu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JobQuestionAlignmentTable" displayName="JobQuestionAlignmentTable" ref="A4:D19">
  <x:tableColumns count="4">
    <x:tableColumn id="1" name="ID"/>
    <x:tableColumn id="2" name="Halaman"/>
    <x:tableColumn id="3" name="Pekerjaan Utama"/>
    <x:tableColumn id="4" name="Pertanyaan Utama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ContentDependenciesTable" displayName="ContentDependenciesTable" ref="A4:C16">
  <x:tableColumns count="3">
    <x:tableColumn id="1" name="Halaman"/>
    <x:tableColumn id="2" name="Dependency Utama"/>
    <x:tableColumn id="3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SourceNotesTable" displayName="SourceNotesTable" ref="A4:B9">
  <x:tableColumns count="2">
    <x:tableColumn id="1" name="Sumber"/>
    <x:tableColumn id="2" name="Fungsi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68681ff5b46427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e37da12cf2c4d1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586fc8b45f3248c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0c18975c0b8c45d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a20f988df46d420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5fa60b8beb824d0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cb5a5f05aa064ae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2ab269a794b04f4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9" defaultRowHeight="14"/>
  <x:cols>
    <x:col min="1" max="1" width="28" hidden="0" customWidth="1"/>
    <x:col min="2" max="2" width="16" hidden="0" customWidth="1"/>
    <x:col min="3" max="3" width="5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</x:cols>
  <x:sheetData>
    <x:row r="1" ht="36" customHeight="1">
      <x:c r="A1" s="63" t="str">
        <x:v>Architecture Dashboard - Aligned</x:v>
      </x:c>
      <x:c r="B1" s="63"/>
      <x:c r="C1" s="63"/>
      <x:c r="D1" s="64"/>
      <x:c r="E1" s="64"/>
      <x:c r="F1" s="64"/>
      <x:c r="G1" s="64"/>
      <x:c r="H1" s="64"/>
    </x:row>
    <x:row r="2" ht="26" customHeight="1">
      <x:c r="A2" s="67" t="str">
        <x:v>Current implementation plus retained backlog.</x:v>
      </x:c>
      <x:c r="B2" s="67"/>
      <x:c r="C2" s="67"/>
      <x:c r="D2" s="68"/>
      <x:c r="E2" s="68"/>
      <x:c r="F2" s="68"/>
      <x:c r="G2" s="68"/>
      <x:c r="H2" s="68"/>
    </x:row>
    <x:row r="3">
      <x:c r="A3" s="10"/>
      <x:c r="B3" s="10"/>
      <x:c r="C3" s="10"/>
      <x:c r="D3" s="5"/>
      <x:c r="E3" s="5"/>
      <x:c r="F3" s="5"/>
      <x:c r="G3" s="5"/>
      <x:c r="H3" s="5"/>
    </x:row>
    <x:row r="4" ht="28" customHeight="1">
      <x:c r="A4" s="23" t="str">
        <x:v>Metric</x:v>
      </x:c>
      <x:c r="B4" s="23" t="str">
        <x:v>Value</x:v>
      </x:c>
      <x:c r="C4" s="23" t="str">
        <x:v>Note</x:v>
      </x:c>
    </x:row>
    <x:row r="5" ht="18">
      <x:c r="A5" s="40" t="str">
        <x:v>Current page types</x:v>
      </x:c>
      <x:c r="B5" s="78" t="n">
        <x:f>COUNTIF('Final Page List'!$C$5:$C$100,"CURRENT*")</x:f>
        <x:v>0</x:v>
      </x:c>
      <x:c r="C5" s="40" t="str">
        <x:v>Includes prototype and preview page types.</x:v>
      </x:c>
    </x:row>
    <x:row r="6" ht="18">
      <x:c r="A6" s="41" t="str">
        <x:v>Backlog page groups</x:v>
      </x:c>
      <x:c r="B6" s="79" t="n">
        <x:f>COUNTIF('Final Page List'!$C$5:$C$100,"BACKLOG*")</x:f>
        <x:v>0</x:v>
      </x:c>
      <x:c r="C6" s="41" t="str">
        <x:v>Four service details, FAQ, Privacy, Terms.</x:v>
      </x:c>
    </x:row>
    <x:row r="7" ht="18">
      <x:c r="A7" s="41" t="str">
        <x:v>Merged functions</x:v>
      </x:c>
      <x:c r="B7" s="79" t="n">
        <x:f>COUNTIF('Act 4 Merge Evaluation'!$E$5:$E$100,"DIGABUNGKAN")</x:f>
        <x:v>2</x:v>
      </x:c>
      <x:c r="C7" s="41" t="str">
        <x:v>Thank You and Process.</x:v>
      </x:c>
    </x:row>
    <x:row r="8" ht="36">
      <x:c r="A8" s="41" t="str">
        <x:v>Website-found page types</x:v>
      </x:c>
      <x:c r="B8" s="79" t="n">
        <x:f>COUNTIF('Final Page List'!$F$5:$F$100,"DITEMUKAN DI WEBSITE TETAPI BELUM ADA DI DOKUMEN")</x:f>
        <x:v>1</x:v>
      </x:c>
      <x:c r="C8" s="41" t="str">
        <x:v>Profile Detail.</x:v>
      </x:c>
    </x:row>
    <x:row r="9" ht="36">
      <x:c r="A9" s="13"/>
      <x:c r="B9" s="14"/>
      <x:c r="C9" s="13"/>
    </x:row>
    <x:row r="10" ht="30" customHeight="1">
      <x:c r="A10" s="90" t="str">
        <x:v>Alignment control</x:v>
      </x:c>
      <x:c r="B10" s="88" t="str">
        <x:v>Current routes use profile, services, projects, blog, and contact for both locales. Old localized slugs remain historical only.</x:v>
      </x:c>
      <x:c r="C10" s="87"/>
      <x:c r="D10" s="87"/>
      <x:c r="E10" s="87"/>
      <x:c r="F10" s="87"/>
      <x:c r="G10" s="87"/>
      <x:c r="H10" s="87"/>
    </x:row>
    <x:row r="11" ht="30" customHeight="1">
      <x:c r="A11" s="87"/>
      <x:c r="B11" s="88"/>
      <x:c r="C11" s="87"/>
      <x:c r="D11" s="87"/>
      <x:c r="E11" s="87"/>
      <x:c r="F11" s="87"/>
      <x:c r="G11" s="87"/>
      <x:c r="H11" s="87"/>
    </x:row>
    <x:row r="12" ht="30" customHeight="1">
      <x:c r="A12" s="87"/>
      <x:c r="B12" s="88"/>
      <x:c r="C12" s="87"/>
      <x:c r="D12" s="87"/>
      <x:c r="E12" s="87"/>
      <x:c r="F12" s="87"/>
      <x:c r="G12" s="87"/>
      <x:c r="H12" s="87"/>
    </x:row>
  </x:sheetData>
  <x:mergeCells>
    <x:mergeCell ref="A1:C1"/>
    <x:mergeCell ref="A2:C3"/>
    <x:mergeCell ref="B10:H12"/>
  </x:mergeCells>
  <x:pageMargins left="0.7" right="0.7" top="0.75" bottom="0.75" header="0.3" footer="0.3"/>
  <x:tableParts count="1">
    <x:tablePart xmlns:r="http://schemas.openxmlformats.org/officeDocument/2006/relationships" r:id="R768681ff5b464271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ColWidth="9" defaultRowHeight="14"/>
  <x:cols>
    <x:col min="1" max="1" width="12" hidden="0" customWidth="1"/>
    <x:col min="2" max="4" width="36" customWidth="1"/>
    <x:col min="5" max="7" width="18" customWidth="1"/>
    <x:col min="8" max="9" width="36" customWidth="1"/>
    <x:col min="10" max="10" width="24" hidden="0" customWidth="1"/>
    <x:col min="11" max="11" width="16" hidden="0" customWidth="1"/>
    <x:col min="2" max="2" width="24" hidden="0" customWidth="1"/>
    <x:col min="3" max="3" width="23" hidden="0" customWidth="1"/>
    <x:col min="4" max="4" width="34" hidden="0" customWidth="1"/>
    <x:col min="5" max="5" width="40" hidden="0" customWidth="1"/>
    <x:col min="6" max="6" width="22" hidden="0" customWidth="1"/>
    <x:col min="7" max="7" width="25" hidden="0" customWidth="1"/>
    <x:col min="8" max="8" width="36" hidden="0" customWidth="1"/>
    <x:col min="9" max="9" width="36" hidden="0" customWidth="1"/>
  </x:cols>
  <x:sheetData>
    <x:row r="1" ht="34" customHeight="1">
      <x:c r="A1" s="18" t="str">
        <x:v>Aktivitas 4 - Merge Evaluation Aligned</x:v>
      </x:c>
      <x:c r="B1" s="18"/>
      <x:c r="C1" s="18"/>
      <x:c r="D1" s="18"/>
      <x:c r="E1" s="18"/>
      <x:c r="F1" s="18"/>
      <x:c r="G1" s="18"/>
      <x:c r="H1" s="18"/>
      <x:c r="I1" s="18"/>
      <x:c r="J1" s="18"/>
      <x:c r="K1" s="18"/>
    </x:row>
    <x:row r="2" ht="28" customHeight="1">
      <x:c r="A2" s="20" t="str">
        <x:v>Every former page decision is retained with current/backlog status and reason.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9"/>
      <x:c r="B3" s="9"/>
      <x:c r="C3" s="9"/>
      <x:c r="D3" s="9"/>
      <x:c r="E3" s="9"/>
      <x:c r="F3" s="9"/>
      <x:c r="G3" s="9"/>
      <x:c r="H3" s="9"/>
      <x:c r="I3" s="9"/>
      <x:c r="J3" s="9"/>
      <x:c r="K3" s="9"/>
    </x:row>
    <x:row r="4" ht="34" customHeight="1">
      <x:c r="A4" s="23" t="str">
        <x:v>ID</x:v>
      </x:c>
      <x:c r="B4" s="23" t="str">
        <x:v>Halaman Awal</x:v>
      </x:c>
      <x:c r="C4" s="23" t="str">
        <x:v>Kondisi</x:v>
      </x:c>
      <x:c r="D4" s="23" t="str">
        <x:v>Masalah</x:v>
      </x:c>
      <x:c r="E4" s="23" t="str">
        <x:v>Keputusan</x:v>
      </x:c>
      <x:c r="F4" s="23" t="str">
        <x:v>Digabung dengan</x:v>
      </x:c>
      <x:c r="G4" s="23" t="str">
        <x:v>Nama Akhir</x:v>
      </x:c>
      <x:c r="H4" s="23" t="str">
        <x:v>Alasan</x:v>
      </x:c>
      <x:c r="I4" s="23" t="str">
        <x:v>Dampak Informasi</x:v>
      </x:c>
      <x:c r="J4" s="23" t="str">
        <x:v>Dasar</x:v>
      </x:c>
      <x:c r="K4" s="23" t="str">
        <x:v>Status</x:v>
      </x:c>
    </x:row>
    <x:row r="5">
      <x:c r="A5" s="27" t="str">
        <x:v>A-01</x:v>
      </x:c>
      <x:c r="B5" s="27" t="str">
        <x:v>Home</x:v>
      </x:c>
      <x:c r="C5" s="27" t="str">
        <x:v>Implemented</x:v>
      </x:c>
      <x:c r="D5" s="27" t="str">
        <x:v>None</x:v>
      </x:c>
      <x:c r="E5" s="30" t="str">
        <x:v>DIPERTAHANKAN</x:v>
      </x:c>
      <x:c r="F5" s="27" t="str">
        <x:v>-</x:v>
      </x:c>
      <x:c r="G5" s="27" t="str">
        <x:v>Home</x:v>
      </x:c>
      <x:c r="H5" s="27" t="str">
        <x:v>Current orientation page</x:v>
      </x:c>
      <x:c r="I5" s="27" t="str">
        <x:v>None</x:v>
      </x:c>
      <x:c r="J5" s="27" t="str">
        <x:v>Website</x:v>
      </x:c>
      <x:c r="K5" s="27" t="str">
        <x:v>APPROVED</x:v>
      </x:c>
    </x:row>
    <x:row r="6" ht="23">
      <x:c r="A6" s="28" t="str">
        <x:v>A-02</x:v>
      </x:c>
      <x:c r="B6" s="28" t="str">
        <x:v>Profil</x:v>
      </x:c>
      <x:c r="C6" s="28" t="str">
        <x:v>Implemented with English slug</x:v>
      </x:c>
      <x:c r="D6" s="28" t="str">
        <x:v>Fase 2 name/URL differs</x:v>
      </x:c>
      <x:c r="E6" s="32" t="str">
        <x:v>DIPERBARUI</x:v>
      </x:c>
      <x:c r="F6" s="28" t="str">
        <x:v>-</x:v>
      </x:c>
      <x:c r="G6" s="28" t="str">
        <x:v>Profile</x:v>
      </x:c>
      <x:c r="H6" s="28" t="str">
        <x:v>Follow /[lang]/profile/</x:v>
      </x:c>
      <x:c r="I6" s="28" t="str">
        <x:v>Route/name updated</x:v>
      </x:c>
      <x:c r="J6" s="28" t="str">
        <x:v>Website</x:v>
      </x:c>
      <x:c r="K6" s="28" t="str">
        <x:v>APPROVED</x:v>
      </x:c>
    </x:row>
    <x:row r="7">
      <x:c r="A7" s="28" t="str">
        <x:v>A-03</x:v>
      </x:c>
      <x:c r="B7" s="28" t="str">
        <x:v>Team Detail</x:v>
      </x:c>
      <x:c r="C7" s="28" t="str">
        <x:v>Implemented but absent in Fase 2</x:v>
      </x:c>
      <x:c r="D7" s="28" t="str">
        <x:v>Prototype personas</x:v>
      </x:c>
      <x:c r="E7" s="32" t="str">
        <x:v>DITEMUKAN DI WEBSITE TETAPI BELUM ADA DI DOKUMEN</x:v>
      </x:c>
      <x:c r="F7" s="28" t="str">
        <x:v>Profile</x:v>
      </x:c>
      <x:c r="G7" s="28" t="str">
        <x:v>Profile Detail</x:v>
      </x:c>
      <x:c r="H7" s="28" t="str">
        <x:v>Record current prototype</x:v>
      </x:c>
      <x:c r="I7" s="28" t="str">
        <x:v>Added as current noindex</x:v>
      </x:c>
      <x:c r="J7" s="28" t="str">
        <x:v>Website</x:v>
      </x:c>
      <x:c r="K7" s="28" t="str">
        <x:v>APPROVED</x:v>
      </x:c>
    </x:row>
    <x:row r="8">
      <x:c r="A8" s="28" t="str">
        <x:v>A-04</x:v>
      </x:c>
      <x:c r="B8" s="28" t="str">
        <x:v>Layanan</x:v>
      </x:c>
      <x:c r="C8" s="28" t="str">
        <x:v>Implemented as hub</x:v>
      </x:c>
      <x:c r="D8" s="28" t="str">
        <x:v>No detail pages/dropdown</x:v>
      </x:c>
      <x:c r="E8" s="32" t="str">
        <x:v>DIPERBARUI</x:v>
      </x:c>
      <x:c r="F8" s="28" t="str">
        <x:v>-</x:v>
      </x:c>
      <x:c r="G8" s="28" t="str">
        <x:v>Services</x:v>
      </x:c>
      <x:c r="H8" s="28" t="str">
        <x:v>Four categories current</x:v>
      </x:c>
      <x:c r="I8" s="28" t="str">
        <x:v>Detail pages moved to backlog</x:v>
      </x:c>
      <x:c r="J8" s="28" t="str">
        <x:v>Website + user</x:v>
      </x:c>
      <x:c r="K8" s="28" t="str">
        <x:v>APPROVED</x:v>
      </x:c>
    </x:row>
    <x:row r="9" ht="23">
      <x:c r="A9" s="28" t="str">
        <x:v>A-05</x:v>
      </x:c>
      <x:c r="B9" s="28" t="str">
        <x:v>Pengalaman</x:v>
      </x:c>
      <x:c r="C9" s="28" t="str">
        <x:v>Implemented as Projects route</x:v>
      </x:c>
      <x:c r="D9" s="28" t="str">
        <x:v>Label/URL differs</x:v>
      </x:c>
      <x:c r="E9" s="32" t="str">
        <x:v>DIPERBARUI</x:v>
      </x:c>
      <x:c r="F9" s="28" t="str">
        <x:v>-</x:v>
      </x:c>
      <x:c r="G9" s="28" t="str">
        <x:v>Our Experiences</x:v>
      </x:c>
      <x:c r="H9" s="28" t="str">
        <x:v>Follow /projects/</x:v>
      </x:c>
      <x:c r="I9" s="28" t="str">
        <x:v>Dummy proof retained for prototype</x:v>
      </x:c>
      <x:c r="J9" s="28" t="str">
        <x:v>Website</x:v>
      </x:c>
      <x:c r="K9" s="28" t="str">
        <x:v>APPROVED</x:v>
      </x:c>
    </x:row>
    <x:row r="10" ht="23">
      <x:c r="A10" s="28" t="str">
        <x:v>A-06</x:v>
      </x:c>
      <x:c r="B10" s="28" t="str">
        <x:v>Insight</x:v>
      </x:c>
      <x:c r="C10" s="28" t="str">
        <x:v>Implemented as Blog route</x:v>
      </x:c>
      <x:c r="D10" s="28" t="str">
        <x:v>Label/URL differs</x:v>
      </x:c>
      <x:c r="E10" s="32" t="str">
        <x:v>DIPERBARUI</x:v>
      </x:c>
      <x:c r="F10" s="28" t="str">
        <x:v>-</x:v>
      </x:c>
      <x:c r="G10" s="28" t="str">
        <x:v>Blog</x:v>
      </x:c>
      <x:c r="H10" s="28" t="str">
        <x:v>Follow /blog/</x:v>
      </x:c>
      <x:c r="I10" s="28" t="str">
        <x:v>Preview-only governance</x:v>
      </x:c>
      <x:c r="J10" s="28" t="str">
        <x:v>Website + user</x:v>
      </x:c>
      <x:c r="K10" s="28" t="str">
        <x:v>APPROVED</x:v>
      </x:c>
    </x:row>
    <x:row r="11" ht="23">
      <x:c r="A11" s="28" t="str">
        <x:v>A-07</x:v>
      </x:c>
      <x:c r="B11" s="28" t="str">
        <x:v>Thank You</x:v>
      </x:c>
      <x:c r="C11" s="28" t="str">
        <x:v>No route</x:v>
      </x:c>
      <x:c r="D11" s="28" t="str">
        <x:v>User approved modal</x:v>
      </x:c>
      <x:c r="E11" s="32" t="str">
        <x:v>DIGABUNGKAN</x:v>
      </x:c>
      <x:c r="F11" s="28" t="str">
        <x:v>Contact</x:v>
      </x:c>
      <x:c r="G11" s="28" t="str">
        <x:v>Thank You modal</x:v>
      </x:c>
      <x:c r="H11" s="28" t="str">
        <x:v>Avoid unnecessary page</x:v>
      </x:c>
      <x:c r="I11" s="28" t="str">
        <x:v>Separate page removed</x:v>
      </x:c>
      <x:c r="J11" s="28" t="str">
        <x:v>User decision</x:v>
      </x:c>
      <x:c r="K11" s="28" t="str">
        <x:v>APPROVED</x:v>
      </x:c>
    </x:row>
    <x:row r="12" ht="23">
      <x:c r="A12" s="28" t="str">
        <x:v>A-08</x:v>
      </x:c>
      <x:c r="B12" s="28" t="str">
        <x:v>Proses Kerja</x:v>
      </x:c>
      <x:c r="C12" s="28" t="str">
        <x:v>Sections on Home</x:v>
      </x:c>
      <x:c r="D12" s="28" t="str">
        <x:v>No standalone page</x:v>
      </x:c>
      <x:c r="E12" s="32" t="str">
        <x:v>DIGABUNGKAN</x:v>
      </x:c>
      <x:c r="F12" s="28" t="str">
        <x:v>Home/Services</x:v>
      </x:c>
      <x:c r="G12" s="28" t="str">
        <x:v>Process sections</x:v>
      </x:c>
      <x:c r="H12" s="28" t="str">
        <x:v>Matches implementation</x:v>
      </x:c>
      <x:c r="I12" s="28" t="str">
        <x:v>No isolated page</x:v>
      </x:c>
      <x:c r="J12" s="28" t="str">
        <x:v>Website</x:v>
      </x:c>
      <x:c r="K12" s="28" t="str">
        <x:v>APPROVED</x:v>
      </x:c>
    </x:row>
    <x:row r="13" ht="23">
      <x:c r="A13" s="28" t="str">
        <x:v>A-09</x:v>
      </x:c>
      <x:c r="B13" s="28" t="str">
        <x:v>FAQ</x:v>
      </x:c>
      <x:c r="C13" s="28" t="str">
        <x:v>Not implemented</x:v>
      </x:c>
      <x:c r="D13" s="28" t="str">
        <x:v>Still useful future function</x:v>
      </x:c>
      <x:c r="E13" s="34" t="str">
        <x:v>TIDAK DITEMUKAN DI WEBSITE</x:v>
      </x:c>
      <x:c r="F13" s="28" t="str">
        <x:v>-</x:v>
      </x:c>
      <x:c r="G13" s="28" t="str">
        <x:v>FAQ</x:v>
      </x:c>
      <x:c r="H13" s="28" t="str">
        <x:v>Retain as backlog</x:v>
      </x:c>
      <x:c r="I13" s="28" t="str">
        <x:v>No current route</x:v>
      </x:c>
      <x:c r="J13" s="28" t="str">
        <x:v>Fase 2</x:v>
      </x:c>
      <x:c r="K13" s="28" t="str">
        <x:v>BACKLOG</x:v>
      </x:c>
    </x:row>
    <x:row r="14">
      <x:c r="A14" s="28" t="str">
        <x:v>A-10</x:v>
      </x:c>
      <x:c r="B14" s="28" t="str">
        <x:v>Privacy</x:v>
      </x:c>
      <x:c r="C14" s="28" t="str">
        <x:v>Not implemented</x:v>
      </x:c>
      <x:c r="D14" s="28" t="str">
        <x:v>Policy unavailable</x:v>
      </x:c>
      <x:c r="E14" s="34" t="str">
        <x:v>TIDAK DITEMUKAN DI WEBSITE</x:v>
      </x:c>
      <x:c r="F14" s="28" t="str">
        <x:v>-</x:v>
      </x:c>
      <x:c r="G14" s="28" t="str">
        <x:v>Privacy Policy</x:v>
      </x:c>
      <x:c r="H14" s="28" t="str">
        <x:v>Retain as launch blocker</x:v>
      </x:c>
      <x:c r="I14" s="28" t="str">
        <x:v>No current route</x:v>
      </x:c>
      <x:c r="J14" s="28" t="str">
        <x:v>Fase 2</x:v>
      </x:c>
      <x:c r="K14" s="28" t="str">
        <x:v>BACKLOG</x:v>
      </x:c>
    </x:row>
    <x:row r="15">
      <x:c r="A15" s="28" t="str">
        <x:v>A-11</x:v>
      </x:c>
      <x:c r="B15" s="28" t="str">
        <x:v>Terms</x:v>
      </x:c>
      <x:c r="C15" s="28" t="str">
        <x:v>Not implemented</x:v>
      </x:c>
      <x:c r="D15" s="28" t="str">
        <x:v>Policy unavailable</x:v>
      </x:c>
      <x:c r="E15" s="34" t="str">
        <x:v>TIDAK DITEMUKAN DI WEBSITE</x:v>
      </x:c>
      <x:c r="F15" s="28" t="str">
        <x:v>-</x:v>
      </x:c>
      <x:c r="G15" s="28" t="str">
        <x:v>Terms &amp; Disclaimer</x:v>
      </x:c>
      <x:c r="H15" s="28" t="str">
        <x:v>Retain as launch blocker</x:v>
      </x:c>
      <x:c r="I15" s="28" t="str">
        <x:v>No current route</x:v>
      </x:c>
      <x:c r="J15" s="28" t="str">
        <x:v>Fase 2</x:v>
      </x:c>
      <x:c r="K15" s="28" t="str">
        <x:v>BACKLOG</x:v>
      </x:c>
    </x:row>
    <x:row r="16">
      <x:c r="A16" s="7"/>
      <x:c r="B16" s="7"/>
      <x:c r="C16" s="7"/>
      <x:c r="D16" s="7"/>
      <x:c r="E16" s="7"/>
      <x:c r="F16" s="7"/>
      <x:c r="G16" s="7"/>
      <x:c r="H16" s="7"/>
      <x:c r="I16" s="7"/>
      <x:c r="J16" s="7"/>
      <x:c r="K16" s="7"/>
    </x:row>
    <x:row r="17">
      <x:c r="A17" s="7"/>
      <x:c r="B17" s="7"/>
      <x:c r="C17" s="7"/>
      <x:c r="D17" s="7"/>
      <x:c r="E17" s="7"/>
      <x:c r="F17" s="7"/>
      <x:c r="G17" s="7"/>
      <x:c r="H17" s="7"/>
      <x:c r="I17" s="7"/>
      <x:c r="J17" s="7"/>
      <x:c r="K17" s="7"/>
    </x:row>
    <x:row r="18">
      <x:c r="A18" s="7"/>
      <x:c r="B18" s="7"/>
      <x:c r="C18" s="7"/>
      <x:c r="D18" s="7"/>
      <x:c r="E18" s="7"/>
      <x:c r="F18" s="7"/>
      <x:c r="G18" s="7"/>
      <x:c r="H18" s="7"/>
      <x:c r="I18" s="7"/>
      <x:c r="J18" s="7"/>
      <x:c r="K18" s="7"/>
    </x:row>
    <x:row r="19">
      <x:c r="A19" s="7"/>
      <x:c r="B19" s="7"/>
      <x:c r="C19" s="7"/>
      <x:c r="D19" s="7"/>
      <x:c r="E19" s="7"/>
      <x:c r="F19" s="7"/>
      <x:c r="G19" s="7"/>
      <x:c r="H19" s="7"/>
      <x:c r="I19" s="7"/>
      <x:c r="J19" s="7"/>
      <x:c r="K19" s="7"/>
    </x:row>
    <x:row r="20">
      <x:c r="A20" s="7"/>
      <x:c r="B20" s="7"/>
      <x:c r="C20" s="7"/>
      <x:c r="D20" s="7"/>
      <x:c r="E20" s="7"/>
      <x:c r="F20" s="7"/>
      <x:c r="G20" s="7"/>
      <x:c r="H20" s="7"/>
      <x:c r="I20" s="7"/>
      <x:c r="J20" s="7"/>
      <x:c r="K20" s="7"/>
    </x:row>
    <x:row r="21">
      <x:c r="A21" s="7"/>
      <x:c r="B21" s="7"/>
      <x:c r="C21" s="7"/>
      <x:c r="D21" s="7"/>
      <x:c r="E21" s="7"/>
      <x:c r="F21" s="7"/>
      <x:c r="G21" s="7"/>
      <x:c r="H21" s="7"/>
      <x:c r="I21" s="7"/>
      <x:c r="J21" s="7"/>
      <x:c r="K21" s="7"/>
    </x:row>
    <x:row r="22">
      <x:c r="A22" s="7"/>
      <x:c r="B22" s="7"/>
      <x:c r="C22" s="7"/>
      <x:c r="D22" s="7"/>
      <x:c r="E22" s="7"/>
      <x:c r="F22" s="7"/>
      <x:c r="G22" s="7"/>
      <x:c r="H22" s="7"/>
      <x:c r="I22" s="7"/>
      <x:c r="J22" s="7"/>
      <x:c r="K22" s="7"/>
    </x:row>
    <x:row r="23">
      <x:c r="A23" s="7"/>
      <x:c r="B23" s="7"/>
      <x:c r="C23" s="7"/>
      <x:c r="D23" s="7"/>
      <x:c r="E23" s="7"/>
      <x:c r="F23" s="7"/>
      <x:c r="G23" s="7"/>
      <x:c r="H23" s="7"/>
      <x:c r="I23" s="7"/>
      <x:c r="J23" s="7"/>
      <x:c r="K23" s="7"/>
    </x:row>
    <x:row r="24">
      <x:c r="A24" s="7"/>
      <x:c r="B24" s="7"/>
      <x:c r="C24" s="7"/>
      <x:c r="D24" s="7"/>
      <x:c r="E24" s="7"/>
      <x:c r="F24" s="7"/>
      <x:c r="G24" s="7"/>
      <x:c r="H24" s="7"/>
      <x:c r="I24" s="7"/>
      <x:c r="J24" s="7"/>
      <x:c r="K24" s="7"/>
    </x:row>
  </x:sheetData>
  <x:mergeCells>
    <x:mergeCell ref="A1:K1"/>
    <x:mergeCell ref="A2:K3"/>
  </x:mergeCells>
  <x:dataValidations count="1">
    <x:dataValidation type="list" sqref="E5:E200">
      <x:formula1>"DIPERTAHANKAN,DIPERBARUI,DIGABUNGKAN,DIPINDAHKAN,DIHAPUS DENGAN ALASAN,DATA DUMMY,PLACEHOLDER INTERNAL,MENUNGGU VERIFIKASI,TIDAK BOLEH TAYANG,TIDAK DITEMUKAN DI WEBSITE,DITEMUKAN DI WEBSITE TETAPI BELUM ADA DI DOKUMEN"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e37da12cf2c4d1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ColWidth="9" defaultRowHeight="14"/>
  <x:cols>
    <x:col min="1" max="1" width="12" hidden="0" customWidth="1"/>
    <x:col min="2" max="2" width="32" hidden="0" customWidth="1"/>
    <x:col min="3" max="5" width="18" customWidth="1"/>
    <x:col min="6" max="6" width="42" hidden="0" customWidth="1"/>
    <x:col min="3" max="3" width="32" hidden="0" customWidth="1"/>
    <x:col min="4" max="4" width="24" hidden="0" customWidth="1"/>
    <x:col min="5" max="5" width="14" hidden="0" customWidth="1"/>
  </x:cols>
  <x:sheetData>
    <x:row r="1" ht="34" customHeight="1">
      <x:c r="A1" s="18" t="str">
        <x:v>Final Page List - Current and Backlog</x:v>
      </x:c>
      <x:c r="B1" s="18"/>
      <x:c r="C1" s="18"/>
      <x:c r="D1" s="18"/>
      <x:c r="E1" s="18"/>
      <x:c r="F1" s="18"/>
    </x:row>
    <x:row r="2" ht="28" customHeight="1">
      <x:c r="A2" s="20" t="str">
        <x:v>Eight current page types and seven retained backlog page groups.</x:v>
      </x:c>
      <x:c r="B2" s="20"/>
      <x:c r="C2" s="20"/>
      <x:c r="D2" s="20"/>
      <x:c r="E2" s="20"/>
      <x:c r="F2" s="20"/>
    </x:row>
    <x:row r="3">
      <x:c r="A3" s="8"/>
      <x:c r="B3" s="8"/>
      <x:c r="C3" s="8"/>
      <x:c r="D3" s="8"/>
      <x:c r="E3" s="8"/>
      <x:c r="F3" s="8"/>
    </x:row>
    <x:row r="4" ht="34" customHeight="1">
      <x:c r="A4" s="23" t="str">
        <x:v>ID</x:v>
      </x:c>
      <x:c r="B4" s="23" t="str">
        <x:v>Halaman</x:v>
      </x:c>
      <x:c r="C4" s="23" t="str">
        <x:v>Jenis/Lifecycle</x:v>
      </x:c>
      <x:c r="D4" s="23" t="str">
        <x:v>Parent</x:v>
      </x:c>
      <x:c r="E4" s="23" t="str">
        <x:v>Prioritas</x:v>
      </x:c>
      <x:c r="F4" s="23" t="str">
        <x:v>Keputusan</x:v>
      </x:c>
    </x:row>
    <x:row r="5" ht="15" customHeight="1">
      <x:c r="A5" s="40" t="str">
        <x:v>F-01</x:v>
      </x:c>
      <x:c r="B5" s="40" t="str">
        <x:v>Home</x:v>
      </x:c>
      <x:c r="C5" s="40" t="str">
        <x:v>CURRENT</x:v>
      </x:c>
      <x:c r="D5" s="40" t="str">
        <x:v>-</x:v>
      </x:c>
      <x:c r="E5" s="40" t="str">
        <x:v>P1</x:v>
      </x:c>
      <x:c r="F5" s="30" t="str">
        <x:v>DIPERTAHANKAN</x:v>
      </x:c>
    </x:row>
    <x:row r="6" ht="15" customHeight="1">
      <x:c r="A6" s="41" t="str">
        <x:v>F-02</x:v>
      </x:c>
      <x:c r="B6" s="41" t="str">
        <x:v>Profile</x:v>
      </x:c>
      <x:c r="C6" s="41" t="str">
        <x:v>CURRENT</x:v>
      </x:c>
      <x:c r="D6" s="41" t="str">
        <x:v>-</x:v>
      </x:c>
      <x:c r="E6" s="41" t="str">
        <x:v>P1</x:v>
      </x:c>
      <x:c r="F6" s="32" t="str">
        <x:v>DIPERBARUI</x:v>
      </x:c>
    </x:row>
    <x:row r="7" ht="15" customHeight="1">
      <x:c r="A7" s="41" t="str">
        <x:v>F-03</x:v>
      </x:c>
      <x:c r="B7" s="41" t="str">
        <x:v>Profile Detail</x:v>
      </x:c>
      <x:c r="C7" s="41" t="str">
        <x:v>CURRENT PROTOTYPE</x:v>
      </x:c>
      <x:c r="D7" s="41" t="str">
        <x:v>Profile</x:v>
      </x:c>
      <x:c r="E7" s="41" t="str">
        <x:v>P2</x:v>
      </x:c>
      <x:c r="F7" s="32" t="str">
        <x:v>DITEMUKAN DI WEBSITE TETAPI BELUM ADA DI DOKUMEN</x:v>
      </x:c>
    </x:row>
    <x:row r="8" ht="15" customHeight="1">
      <x:c r="A8" s="41" t="str">
        <x:v>F-04</x:v>
      </x:c>
      <x:c r="B8" s="41" t="str">
        <x:v>Services</x:v>
      </x:c>
      <x:c r="C8" s="41" t="str">
        <x:v>CURRENT</x:v>
      </x:c>
      <x:c r="D8" s="41" t="str">
        <x:v>-</x:v>
      </x:c>
      <x:c r="E8" s="41" t="str">
        <x:v>P1</x:v>
      </x:c>
      <x:c r="F8" s="45" t="str">
        <x:v>DIPERTAHANKAN</x:v>
      </x:c>
    </x:row>
    <x:row r="9" ht="15" customHeight="1">
      <x:c r="A9" s="41" t="str">
        <x:v>F-05</x:v>
      </x:c>
      <x:c r="B9" s="41" t="str">
        <x:v>Our Experiences</x:v>
      </x:c>
      <x:c r="C9" s="41" t="str">
        <x:v>CURRENT PROTOTYPE</x:v>
      </x:c>
      <x:c r="D9" s="41" t="str">
        <x:v>-</x:v>
      </x:c>
      <x:c r="E9" s="41" t="str">
        <x:v>P1</x:v>
      </x:c>
      <x:c r="F9" s="32" t="str">
        <x:v>DIPERBARUI</x:v>
      </x:c>
    </x:row>
    <x:row r="10" ht="15" customHeight="1">
      <x:c r="A10" s="41" t="str">
        <x:v>F-06</x:v>
      </x:c>
      <x:c r="B10" s="41" t="str">
        <x:v>Blog</x:v>
      </x:c>
      <x:c r="C10" s="41" t="str">
        <x:v>CURRENT PREVIEW</x:v>
      </x:c>
      <x:c r="D10" s="41" t="str">
        <x:v>-</x:v>
      </x:c>
      <x:c r="E10" s="41" t="str">
        <x:v>P1</x:v>
      </x:c>
      <x:c r="F10" s="32" t="str">
        <x:v>DIPERBARUI</x:v>
      </x:c>
    </x:row>
    <x:row r="11" ht="15" customHeight="1">
      <x:c r="A11" s="41" t="str">
        <x:v>F-07</x:v>
      </x:c>
      <x:c r="B11" s="41" t="str">
        <x:v>Article Detail</x:v>
      </x:c>
      <x:c r="C11" s="41" t="str">
        <x:v>CURRENT PREVIEW</x:v>
      </x:c>
      <x:c r="D11" s="41" t="str">
        <x:v>Blog</x:v>
      </x:c>
      <x:c r="E11" s="41" t="str">
        <x:v>P2</x:v>
      </x:c>
      <x:c r="F11" s="45" t="str">
        <x:v>DIPERTAHANKAN</x:v>
      </x:c>
    </x:row>
    <x:row r="12" ht="15" customHeight="1">
      <x:c r="A12" s="41" t="str">
        <x:v>F-08</x:v>
      </x:c>
      <x:c r="B12" s="41" t="str">
        <x:v>Contact</x:v>
      </x:c>
      <x:c r="C12" s="41" t="str">
        <x:v>CURRENT</x:v>
      </x:c>
      <x:c r="D12" s="41" t="str">
        <x:v>-</x:v>
      </x:c>
      <x:c r="E12" s="41" t="str">
        <x:v>P1</x:v>
      </x:c>
      <x:c r="F12" s="32" t="str">
        <x:v>DIPERBARUI</x:v>
      </x:c>
    </x:row>
    <x:row r="13" ht="15" customHeight="1">
      <x:c r="A13" s="41" t="str">
        <x:v>B-01</x:v>
      </x:c>
      <x:c r="B13" s="41" t="str">
        <x:v>Service Detail - Pendirian</x:v>
      </x:c>
      <x:c r="C13" s="41" t="str">
        <x:v>BACKLOG</x:v>
      </x:c>
      <x:c r="D13" s="41" t="str">
        <x:v>Services</x:v>
      </x:c>
      <x:c r="E13" s="41" t="str">
        <x:v>P2</x:v>
      </x:c>
      <x:c r="F13" s="34" t="str">
        <x:v>TIDAK DITEMUKAN DI WEBSITE</x:v>
      </x:c>
    </x:row>
    <x:row r="14" ht="15" customHeight="1">
      <x:c r="A14" s="41" t="str">
        <x:v>B-02</x:v>
      </x:c>
      <x:c r="B14" s="41" t="str">
        <x:v>Service Detail - Risiko</x:v>
      </x:c>
      <x:c r="C14" s="41" t="str">
        <x:v>BACKLOG</x:v>
      </x:c>
      <x:c r="D14" s="41" t="str">
        <x:v>Services</x:v>
      </x:c>
      <x:c r="E14" s="41" t="str">
        <x:v>P2</x:v>
      </x:c>
      <x:c r="F14" s="34" t="str">
        <x:v>TIDAK DITEMUKAN DI WEBSITE</x:v>
      </x:c>
    </x:row>
    <x:row r="15" ht="15" customHeight="1">
      <x:c r="A15" s="41" t="str">
        <x:v>B-03</x:v>
      </x:c>
      <x:c r="B15" s="41" t="str">
        <x:v>Service Detail - Kepatuhan</x:v>
      </x:c>
      <x:c r="C15" s="41" t="str">
        <x:v>BACKLOG</x:v>
      </x:c>
      <x:c r="D15" s="41" t="str">
        <x:v>Services</x:v>
      </x:c>
      <x:c r="E15" s="41" t="str">
        <x:v>P2</x:v>
      </x:c>
      <x:c r="F15" s="34" t="str">
        <x:v>TIDAK DITEMUKAN DI WEBSITE</x:v>
      </x:c>
    </x:row>
    <x:row r="16" ht="15" customHeight="1">
      <x:c r="A16" s="41" t="str">
        <x:v>B-04</x:v>
      </x:c>
      <x:c r="B16" s="41" t="str">
        <x:v>Service Detail - Proyek</x:v>
      </x:c>
      <x:c r="C16" s="41" t="str">
        <x:v>BACKLOG</x:v>
      </x:c>
      <x:c r="D16" s="41" t="str">
        <x:v>Services</x:v>
      </x:c>
      <x:c r="E16" s="41" t="str">
        <x:v>P2</x:v>
      </x:c>
      <x:c r="F16" s="34" t="str">
        <x:v>TIDAK DITEMUKAN DI WEBSITE</x:v>
      </x:c>
    </x:row>
    <x:row r="17" ht="15" customHeight="1">
      <x:c r="A17" s="41" t="str">
        <x:v>B-05</x:v>
      </x:c>
      <x:c r="B17" s="41" t="str">
        <x:v>FAQ</x:v>
      </x:c>
      <x:c r="C17" s="41" t="str">
        <x:v>BACKLOG</x:v>
      </x:c>
      <x:c r="D17" s="41" t="str">
        <x:v>-</x:v>
      </x:c>
      <x:c r="E17" s="41" t="str">
        <x:v>P2</x:v>
      </x:c>
      <x:c r="F17" s="34" t="str">
        <x:v>TIDAK DITEMUKAN DI WEBSITE</x:v>
      </x:c>
    </x:row>
    <x:row r="18" ht="15" customHeight="1">
      <x:c r="A18" s="41" t="str">
        <x:v>B-06</x:v>
      </x:c>
      <x:c r="B18" s="41" t="str">
        <x:v>Privacy Policy</x:v>
      </x:c>
      <x:c r="C18" s="41" t="str">
        <x:v>BACKLOG / LAUNCH BLOCKER</x:v>
      </x:c>
      <x:c r="D18" s="41" t="str">
        <x:v>-</x:v>
      </x:c>
      <x:c r="E18" s="41" t="str">
        <x:v>P1</x:v>
      </x:c>
      <x:c r="F18" s="34" t="str">
        <x:v>TIDAK DITEMUKAN DI WEBSITE</x:v>
      </x:c>
    </x:row>
    <x:row r="19" ht="15" customHeight="1">
      <x:c r="A19" s="41" t="str">
        <x:v>B-07</x:v>
      </x:c>
      <x:c r="B19" s="41" t="str">
        <x:v>Terms &amp; Disclaimer</x:v>
      </x:c>
      <x:c r="C19" s="41" t="str">
        <x:v>BACKLOG / LAUNCH BLOCKER</x:v>
      </x:c>
      <x:c r="D19" s="41" t="str">
        <x:v>-</x:v>
      </x:c>
      <x:c r="E19" s="41" t="str">
        <x:v>P1</x:v>
      </x:c>
      <x:c r="F19" s="34" t="str">
        <x:v>TIDAK DITEMUKAN DI WEBSITE</x:v>
      </x:c>
    </x:row>
  </x:sheetData>
  <x:mergeCells>
    <x:mergeCell ref="A1:F1"/>
    <x:mergeCell ref="A2:F3"/>
  </x:mergeCells>
  <x:dataValidations count="1">
    <x:dataValidation type="list" sqref="F5:F200">
      <x:formula1>"DIPERTAHANKAN,DIPERBARUI,DIGABUNGKAN,DIPINDAHKAN,DIHAPUS DENGAN ALASAN,DATA DUMMY,PLACEHOLDER INTERNAL,MENUNGGU VERIFIKASI,TIDAK BOLEH TAYANG,TIDAK DITEMUKAN DI WEBSITE,DITEMUKAN DI WEBSITE TETAPI BELUM ADA DI DOKUMEN"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86fc8b45f3248c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ColWidth="9" defaultRowHeight="14"/>
  <x:cols>
    <x:col min="1" max="1" width="12" hidden="0" customWidth="1"/>
    <x:col min="2" max="2" width="28" hidden="0" customWidth="1"/>
    <x:col min="3" max="6" width="36" customWidth="1"/>
    <x:col min="7" max="8" width="18" customWidth="1"/>
    <x:col min="9" max="9" width="42" hidden="0" customWidth="1"/>
    <x:col min="3" max="3" width="48" hidden="0" customWidth="1"/>
    <x:col min="4" max="4" width="38" hidden="0" customWidth="1"/>
    <x:col min="5" max="5" width="50" hidden="0" customWidth="1"/>
    <x:col min="6" max="6" width="28" hidden="0" customWidth="1"/>
    <x:col min="7" max="7" width="38" hidden="0" customWidth="1"/>
    <x:col min="8" max="8" width="24" hidden="0" customWidth="1"/>
  </x:cols>
  <x:sheetData>
    <x:row r="1" ht="34" customHeight="1">
      <x:c r="A1" s="18" t="str">
        <x:v>Aktivitas 5 - Page Jobs Aligned</x:v>
      </x:c>
      <x:c r="B1" s="18"/>
      <x:c r="C1" s="18"/>
      <x:c r="D1" s="18"/>
      <x:c r="E1" s="18"/>
      <x:c r="F1" s="18"/>
      <x:c r="G1" s="18"/>
      <x:c r="H1" s="18"/>
      <x:c r="I1" s="18"/>
    </x:row>
    <x:row r="2" ht="28" customHeight="1">
      <x:c r="A2" s="20" t="str">
        <x:v>One job per current or backlog page.</x:v>
      </x:c>
      <x:c r="B2" s="20"/>
      <x:c r="C2" s="20"/>
      <x:c r="D2" s="20"/>
      <x:c r="E2" s="20"/>
      <x:c r="F2" s="20"/>
      <x:c r="G2" s="20"/>
      <x:c r="H2" s="20"/>
      <x:c r="I2" s="20"/>
    </x:row>
    <x:row r="3">
      <x:c r="A3" s="8"/>
      <x:c r="B3" s="8"/>
      <x:c r="C3" s="8"/>
      <x:c r="D3" s="8"/>
      <x:c r="E3" s="8"/>
      <x:c r="F3" s="8"/>
      <x:c r="G3" s="8"/>
      <x:c r="H3" s="8"/>
      <x:c r="I3" s="8"/>
    </x:row>
    <x:row r="4" ht="34" customHeight="1">
      <x:c r="A4" s="23" t="str">
        <x:v>ID</x:v>
      </x:c>
      <x:c r="B4" s="23" t="str">
        <x:v>Halaman</x:v>
      </x:c>
      <x:c r="C4" s="23" t="str">
        <x:v>Pekerjaan Utama</x:v>
      </x:c>
      <x:c r="D4" s="23" t="str">
        <x:v>Hasil Pengguna</x:v>
      </x:c>
      <x:c r="E4" s="23" t="str">
        <x:v>Informasi Pendukung</x:v>
      </x:c>
      <x:c r="F4" s="23" t="str">
        <x:v>Pekerjaan Sekunder</x:v>
      </x:c>
      <x:c r="G4" s="23" t="str">
        <x:v>Keputusan</x:v>
      </x:c>
      <x:c r="H4" s="23" t="str">
        <x:v>Dasar</x:v>
      </x:c>
      <x:c r="I4" s="23" t="str">
        <x:v>Catatan</x:v>
      </x:c>
    </x:row>
    <x:row r="5" ht="23">
      <x:c r="A5" s="27" t="str">
        <x:v>F-01</x:v>
      </x:c>
      <x:c r="B5" s="27" t="str">
        <x:v>Home</x:v>
      </x:c>
      <x:c r="C5" s="27" t="str">
        <x:v>Explain relevance and route to consultation or services</x:v>
      </x:c>
      <x:c r="D5" s="27" t="str">
        <x:v>User identifies a next action</x:v>
      </x:c>
      <x:c r="E5" s="27" t="str">
        <x:v>Brand, four categories, process, prototype proof, latest preview articles</x:v>
      </x:c>
      <x:c r="F5" s="27" t="str">
        <x:v>Explore Profile/Projects/Blog</x:v>
      </x:c>
      <x:c r="G5" s="30" t="str">
        <x:v>DIPERTAHANKAN</x:v>
      </x:c>
      <x:c r="H5" s="27" t="str">
        <x:v>Website/codebase</x:v>
      </x:c>
      <x:c r="I5" s="27" t="str">
        <x:v>Primary CTA is consultation</x:v>
      </x:c>
    </x:row>
    <x:row r="6" ht="23">
      <x:c r="A6" s="28" t="str">
        <x:v>F-02</x:v>
      </x:c>
      <x:c r="B6" s="28" t="str">
        <x:v>Profile</x:v>
      </x:c>
      <x:c r="C6" s="28" t="str">
        <x:v>Explain brand, operator, approach, and prototype team</x:v>
      </x:c>
      <x:c r="D6" s="28" t="str">
        <x:v>User understands who operates the brand</x:v>
      </x:c>
      <x:c r="E6" s="28" t="str">
        <x:v>PT Karya Usaha Sukses, 2015, Tangerang, by Kultivate</x:v>
      </x:c>
      <x:c r="F6" s="28" t="str">
        <x:v>Explore team anchor</x:v>
      </x:c>
      <x:c r="G6" s="32" t="str">
        <x:v>DIPERBARUI</x:v>
      </x:c>
      <x:c r="H6" s="28" t="str">
        <x:v>Website + user decision</x:v>
      </x:c>
      <x:c r="I6" s="28" t="str">
        <x:v>Registration/public contact pending</x:v>
      </x:c>
    </x:row>
    <x:row r="7" ht="23">
      <x:c r="A7" s="28" t="str">
        <x:v>F-03</x:v>
      </x:c>
      <x:c r="B7" s="28" t="str">
        <x:v>Profile Detail</x:v>
      </x:c>
      <x:c r="C7" s="28" t="str">
        <x:v>Demonstrate high-fidelity profile pattern</x:v>
      </x:c>
      <x:c r="D7" s="28" t="str">
        <x:v>User previews profile structure</x:v>
      </x:c>
      <x:c r="E7" s="28" t="str">
        <x:v>Dummy role, expertise, placeholder credential</x:v>
      </x:c>
      <x:c r="F7" s="28" t="str">
        <x:v>Return to Profile</x:v>
      </x:c>
      <x:c r="G7" s="34" t="str">
        <x:v>DATA DUMMY</x:v>
      </x:c>
      <x:c r="H7" s="28" t="str">
        <x:v>Website + user decision</x:v>
      </x:c>
      <x:c r="I7" s="28" t="str">
        <x:v>Noindex; remove/replace at launch</x:v>
      </x:c>
    </x:row>
    <x:row r="8" ht="23">
      <x:c r="A8" s="28" t="str">
        <x:v>F-04</x:v>
      </x:c>
      <x:c r="B8" s="28" t="str">
        <x:v>Services</x:v>
      </x:c>
      <x:c r="C8" s="28" t="str">
        <x:v>Orient users to four approved service categories</x:v>
      </x:c>
      <x:c r="D8" s="28" t="str">
        <x:v>User selects a relevant category</x:v>
      </x:c>
      <x:c r="E8" s="28" t="str">
        <x:v>Four categories, generic scope</x:v>
      </x:c>
      <x:c r="F8" s="28" t="str">
        <x:v>Start consultation</x:v>
      </x:c>
      <x:c r="G8" s="45" t="str">
        <x:v>DIPERTAHANKAN</x:v>
      </x:c>
      <x:c r="H8" s="28" t="str">
        <x:v>Website + user decision</x:v>
      </x:c>
      <x:c r="I8" s="28" t="str">
        <x:v>No detail pages</x:v>
      </x:c>
    </x:row>
    <x:row r="9" ht="23">
      <x:c r="A9" s="28" t="str">
        <x:v>F-05</x:v>
      </x:c>
      <x:c r="B9" s="28" t="str">
        <x:v>Our Experiences</x:v>
      </x:c>
      <x:c r="C9" s="28" t="str">
        <x:v>Demonstrate experience/case-study pattern</x:v>
      </x:c>
      <x:c r="D9" s="28" t="str">
        <x:v>User sees intended proof structure</x:v>
      </x:c>
      <x:c r="E9" s="28" t="str">
        <x:v>Three dummy cases/testimonials</x:v>
      </x:c>
      <x:c r="F9" s="28" t="str">
        <x:v>Start consultation</x:v>
      </x:c>
      <x:c r="G9" s="34" t="str">
        <x:v>DATA DUMMY</x:v>
      </x:c>
      <x:c r="H9" s="28" t="str">
        <x:v>Website</x:v>
      </x:c>
      <x:c r="I9" s="28" t="str">
        <x:v>Not factual proof</x:v>
      </x:c>
    </x:row>
    <x:row r="10" ht="23">
      <x:c r="A10" s="28" t="str">
        <x:v>F-06</x:v>
      </x:c>
      <x:c r="B10" s="28" t="str">
        <x:v>Blog</x:v>
      </x:c>
      <x:c r="C10" s="28" t="str">
        <x:v>List preview knowledge content</x:v>
      </x:c>
      <x:c r="D10" s="28" t="str">
        <x:v>User finds a topic</x:v>
      </x:c>
      <x:c r="E10" s="28" t="str">
        <x:v>Six bilingual preview articles</x:v>
      </x:c>
      <x:c r="F10" s="28" t="str">
        <x:v>Open article</x:v>
      </x:c>
      <x:c r="G10" s="34" t="str">
        <x:v>TIDAK BOLEH TAYANG</x:v>
      </x:c>
      <x:c r="H10" s="28" t="str">
        <x:v>Website + user decision</x:v>
      </x:c>
      <x:c r="I10" s="28" t="str">
        <x:v>Exclude from launch until reviewed</x:v>
      </x:c>
    </x:row>
    <x:row r="11" ht="23">
      <x:c r="A11" s="28" t="str">
        <x:v>F-07</x:v>
      </x:c>
      <x:c r="B11" s="28" t="str">
        <x:v>Article Detail</x:v>
      </x:c>
      <x:c r="C11" s="28" t="str">
        <x:v>Explain one regulatory topic in preview</x:v>
      </x:c>
      <x:c r="D11" s="28" t="str">
        <x:v>User reads and continues</x:v>
      </x:c>
      <x:c r="E11" s="28" t="str">
        <x:v>Article, translation, related posts</x:v>
      </x:c>
      <x:c r="F11" s="28" t="str">
        <x:v>Return/read related</x:v>
      </x:c>
      <x:c r="G11" s="34" t="str">
        <x:v>TIDAK BOLEH TAYANG</x:v>
      </x:c>
      <x:c r="H11" s="28" t="str">
        <x:v>Website + user decision</x:v>
      </x:c>
      <x:c r="I11" s="28" t="str">
        <x:v>No reviewer/current-law record</x:v>
      </x:c>
    </x:row>
    <x:row r="12" ht="23">
      <x:c r="A12" s="28" t="str">
        <x:v>F-08</x:v>
      </x:c>
      <x:c r="B12" s="28" t="str">
        <x:v>Contact</x:v>
      </x:c>
      <x:c r="C12" s="28" t="str">
        <x:v>Capture enough context for follow-up</x:v>
      </x:c>
      <x:c r="D12" s="28" t="str">
        <x:v>User submits inquiry</x:v>
      </x:c>
      <x:c r="E12" s="28" t="str">
        <x:v>Form, consent, validation, Resend</x:v>
      </x:c>
      <x:c r="F12" s="28" t="str">
        <x:v>Show approved modal Thank You</x:v>
      </x:c>
      <x:c r="G12" s="32" t="str">
        <x:v>DIPERBARUI</x:v>
      </x:c>
      <x:c r="H12" s="28" t="str">
        <x:v>Website + user decision</x:v>
      </x:c>
      <x:c r="I12" s="28" t="str">
        <x:v>Modal target not implemented</x:v>
      </x:c>
    </x:row>
    <x:row r="13" ht="23">
      <x:c r="A13" s="28" t="str">
        <x:v>B-01</x:v>
      </x:c>
      <x:c r="B13" s="28" t="str">
        <x:v>Service Detail - Pendirian</x:v>
      </x:c>
      <x:c r="C13" s="28" t="str">
        <x:v>Explain detailed scope</x:v>
      </x:c>
      <x:c r="D13" s="28" t="str">
        <x:v>User understands scope and exclusions</x:v>
      </x:c>
      <x:c r="E13" s="28" t="str">
        <x:v>Deliverables, checklist, timeline</x:v>
      </x:c>
      <x:c r="F13" s="28" t="str">
        <x:v>Contact</x:v>
      </x:c>
      <x:c r="G13" s="34" t="str">
        <x:v>TIDAK DITEMUKAN DI WEBSITE</x:v>
      </x:c>
      <x:c r="H13" s="28" t="str">
        <x:v>Fase 2</x:v>
      </x:c>
      <x:c r="I13" s="28" t="str">
        <x:v>Backlog</x:v>
      </x:c>
    </x:row>
    <x:row r="14" ht="23">
      <x:c r="A14" s="28" t="str">
        <x:v>B-02</x:v>
      </x:c>
      <x:c r="B14" s="28" t="str">
        <x:v>Service Detail - Risiko</x:v>
      </x:c>
      <x:c r="C14" s="28" t="str">
        <x:v>Explain detailed scope</x:v>
      </x:c>
      <x:c r="D14" s="28" t="str">
        <x:v>User understands scope and exclusions</x:v>
      </x:c>
      <x:c r="E14" s="28" t="str">
        <x:v>Deliverables, checklist, timeline</x:v>
      </x:c>
      <x:c r="F14" s="28" t="str">
        <x:v>Contact</x:v>
      </x:c>
      <x:c r="G14" s="34" t="str">
        <x:v>TIDAK DITEMUKAN DI WEBSITE</x:v>
      </x:c>
      <x:c r="H14" s="28" t="str">
        <x:v>Fase 2</x:v>
      </x:c>
      <x:c r="I14" s="28" t="str">
        <x:v>Backlog</x:v>
      </x:c>
    </x:row>
    <x:row r="15" ht="23">
      <x:c r="A15" s="28" t="str">
        <x:v>B-03</x:v>
      </x:c>
      <x:c r="B15" s="28" t="str">
        <x:v>Service Detail - Kepatuhan</x:v>
      </x:c>
      <x:c r="C15" s="28" t="str">
        <x:v>Explain detailed scope</x:v>
      </x:c>
      <x:c r="D15" s="28" t="str">
        <x:v>User understands scope and exclusions</x:v>
      </x:c>
      <x:c r="E15" s="28" t="str">
        <x:v>Deliverables, checklist, timeline</x:v>
      </x:c>
      <x:c r="F15" s="28" t="str">
        <x:v>Contact</x:v>
      </x:c>
      <x:c r="G15" s="34" t="str">
        <x:v>TIDAK DITEMUKAN DI WEBSITE</x:v>
      </x:c>
      <x:c r="H15" s="28" t="str">
        <x:v>Fase 2</x:v>
      </x:c>
      <x:c r="I15" s="28" t="str">
        <x:v>Backlog</x:v>
      </x:c>
    </x:row>
    <x:row r="16" ht="23">
      <x:c r="A16" s="28" t="str">
        <x:v>B-04</x:v>
      </x:c>
      <x:c r="B16" s="28" t="str">
        <x:v>Service Detail - Proyek</x:v>
      </x:c>
      <x:c r="C16" s="28" t="str">
        <x:v>Explain detailed scope</x:v>
      </x:c>
      <x:c r="D16" s="28" t="str">
        <x:v>User understands scope and exclusions</x:v>
      </x:c>
      <x:c r="E16" s="28" t="str">
        <x:v>Deliverables, checklist, timeline</x:v>
      </x:c>
      <x:c r="F16" s="28" t="str">
        <x:v>Contact</x:v>
      </x:c>
      <x:c r="G16" s="34" t="str">
        <x:v>TIDAK DITEMUKAN DI WEBSITE</x:v>
      </x:c>
      <x:c r="H16" s="28" t="str">
        <x:v>Fase 2</x:v>
      </x:c>
      <x:c r="I16" s="28" t="str">
        <x:v>Backlog</x:v>
      </x:c>
    </x:row>
    <x:row r="17" ht="23">
      <x:c r="A17" s="28" t="str">
        <x:v>B-05</x:v>
      </x:c>
      <x:c r="B17" s="28" t="str">
        <x:v>FAQ</x:v>
      </x:c>
      <x:c r="C17" s="28" t="str">
        <x:v>Resolve reviewed common questions</x:v>
      </x:c>
      <x:c r="D17" s="28" t="str">
        <x:v>User decides whether to contact</x:v>
      </x:c>
      <x:c r="E17" s="28" t="str">
        <x:v>Approved answers</x:v>
      </x:c>
      <x:c r="F17" s="28" t="str">
        <x:v>Contact/Services</x:v>
      </x:c>
      <x:c r="G17" s="34" t="str">
        <x:v>TIDAK DITEMUKAN DI WEBSITE</x:v>
      </x:c>
      <x:c r="H17" s="28" t="str">
        <x:v>Fase 2</x:v>
      </x:c>
      <x:c r="I17" s="28" t="str">
        <x:v>Backlog</x:v>
      </x:c>
    </x:row>
    <x:row r="18" ht="23">
      <x:c r="A18" s="28" t="str">
        <x:v>B-06</x:v>
      </x:c>
      <x:c r="B18" s="28" t="str">
        <x:v>Privacy Policy</x:v>
      </x:c>
      <x:c r="C18" s="28" t="str">
        <x:v>Explain data processing</x:v>
      </x:c>
      <x:c r="D18" s="28" t="str">
        <x:v>User understands consent and rights</x:v>
      </x:c>
      <x:c r="E18" s="28" t="str">
        <x:v>Approved policy</x:v>
      </x:c>
      <x:c r="F18" s="28" t="str">
        <x:v>Contact</x:v>
      </x:c>
      <x:c r="G18" s="34" t="str">
        <x:v>TIDAK DITEMUKAN DI WEBSITE</x:v>
      </x:c>
      <x:c r="H18" s="28" t="str">
        <x:v>Fase 2</x:v>
      </x:c>
      <x:c r="I18" s="28" t="str">
        <x:v>Launch blocker</x:v>
      </x:c>
    </x:row>
    <x:row r="19" ht="23">
      <x:c r="A19" s="28" t="str">
        <x:v>B-07</x:v>
      </x:c>
      <x:c r="B19" s="28" t="str">
        <x:v>Terms &amp; Disclaimer</x:v>
      </x:c>
      <x:c r="C19" s="28" t="str">
        <x:v>Explain usage boundaries</x:v>
      </x:c>
      <x:c r="D19" s="28" t="str">
        <x:v>User understands website limitations</x:v>
      </x:c>
      <x:c r="E19" s="28" t="str">
        <x:v>Approved terms</x:v>
      </x:c>
      <x:c r="F19" s="28" t="str">
        <x:v>Home/Contact</x:v>
      </x:c>
      <x:c r="G19" s="34" t="str">
        <x:v>TIDAK DITEMUKAN DI WEBSITE</x:v>
      </x:c>
      <x:c r="H19" s="28" t="str">
        <x:v>Fase 2</x:v>
      </x:c>
      <x:c r="I19" s="28" t="str">
        <x:v>Launch blocker</x:v>
      </x:c>
    </x:row>
  </x:sheetData>
  <x:mergeCells>
    <x:mergeCell ref="A1:I1"/>
    <x:mergeCell ref="A2:I3"/>
  </x:mergeCells>
  <x:dataValidations count="1">
    <x:dataValidation type="list" sqref="G5:G200">
      <x:formula1>"DIPERTAHANKAN,DIPERBARUI,DIGABUNGKAN,DIPINDAHKAN,DIHAPUS DENGAN ALASAN,DATA DUMMY,PLACEHOLDER INTERNAL,MENUNGGU VERIFIKASI,TIDAK BOLEH TAYANG,TIDAK DITEMUKAN DI WEBSITE,DITEMUKAN DI WEBSITE TETAPI BELUM ADA DI DOKUMEN"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c18975c0b8c45d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ColWidth="9" defaultRowHeight="14"/>
  <x:cols>
    <x:col min="1" max="1" width="12" hidden="0" customWidth="1"/>
    <x:col min="2" max="2" width="28" hidden="0" customWidth="1"/>
    <x:col min="3" max="5" width="36" customWidth="1"/>
    <x:col min="6" max="6" width="26" hidden="0" customWidth="1"/>
    <x:col min="7" max="7" width="40" hidden="0" customWidth="1"/>
    <x:col min="8" max="9" width="18" customWidth="1"/>
    <x:col min="3" max="3" width="52" hidden="0" customWidth="1"/>
    <x:col min="4" max="4" width="42" hidden="0" customWidth="1"/>
    <x:col min="5" max="5" width="48" hidden="0" customWidth="1"/>
    <x:col min="8" max="8" width="24" hidden="0" customWidth="1"/>
    <x:col min="9" max="9" width="38" hidden="0" customWidth="1"/>
  </x:cols>
  <x:sheetData>
    <x:row r="1" ht="34" customHeight="1">
      <x:c r="A1" s="18" t="str">
        <x:v>Aktivitas 6 - Page Questions Aligned</x:v>
      </x:c>
      <x:c r="B1" s="18"/>
      <x:c r="C1" s="18"/>
      <x:c r="D1" s="18"/>
      <x:c r="E1" s="18"/>
      <x:c r="F1" s="18"/>
      <x:c r="G1" s="18"/>
      <x:c r="H1" s="18"/>
      <x:c r="I1" s="18"/>
    </x:row>
    <x:row r="2" ht="28" customHeight="1">
      <x:c r="A2" s="20" t="str">
        <x:v>Questions reflect current implementation and approved backlog.</x:v>
      </x:c>
      <x:c r="B2" s="20"/>
      <x:c r="C2" s="20"/>
      <x:c r="D2" s="20"/>
      <x:c r="E2" s="20"/>
      <x:c r="F2" s="20"/>
      <x:c r="G2" s="20"/>
      <x:c r="H2" s="20"/>
      <x:c r="I2" s="20"/>
    </x:row>
    <x:row r="3">
      <x:c r="A3" s="8"/>
      <x:c r="B3" s="8"/>
      <x:c r="C3" s="8"/>
      <x:c r="D3" s="8"/>
      <x:c r="E3" s="8"/>
      <x:c r="F3" s="8"/>
      <x:c r="G3" s="8"/>
      <x:c r="H3" s="8"/>
      <x:c r="I3" s="8"/>
    </x:row>
    <x:row r="4" ht="34" customHeight="1">
      <x:c r="A4" s="23" t="str">
        <x:v>ID</x:v>
      </x:c>
      <x:c r="B4" s="23" t="str">
        <x:v>Halaman</x:v>
      </x:c>
      <x:c r="C4" s="23" t="str">
        <x:v>Pertanyaan Utama</x:v>
      </x:c>
      <x:c r="D4" s="23" t="str">
        <x:v>Pertanyaan Pendukung</x:v>
      </x:c>
      <x:c r="E4" s="23" t="str">
        <x:v>Informasi Menjawab</x:v>
      </x:c>
      <x:c r="F4" s="23" t="str">
        <x:v>Tersedia?</x:v>
      </x:c>
      <x:c r="G4" s="23" t="str">
        <x:v>Kekurangan</x:v>
      </x:c>
      <x:c r="H4" s="23" t="str">
        <x:v>Dasar</x:v>
      </x:c>
      <x:c r="I4" s="23" t="str">
        <x:v>Status</x:v>
      </x:c>
    </x:row>
    <x:row r="5" ht="23">
      <x:c r="A5" s="27" t="str">
        <x:v>F-01</x:v>
      </x:c>
      <x:c r="B5" s="27" t="str">
        <x:v>Home</x:v>
      </x:c>
      <x:c r="C5" s="27" t="str">
        <x:v>Apakah halaman Home membantu saya mengambil next step yang tepat?</x:v>
      </x:c>
      <x:c r="D5" s="27" t="str">
        <x:v>Explain relevance and route to consultation or services</x:v>
      </x:c>
      <x:c r="E5" s="27" t="str">
        <x:v>Brand, four categories, process, prototype proof, latest preview articles</x:v>
      </x:c>
      <x:c r="F5" s="27" t="str">
        <x:v>TERSEDIA UNTUK STRUKTUR</x:v>
      </x:c>
      <x:c r="G5" s="27" t="str">
        <x:v>Primary CTA is consultation</x:v>
      </x:c>
      <x:c r="H5" s="27" t="str">
        <x:v>Website/codebase</x:v>
      </x:c>
      <x:c r="I5" s="30" t="str">
        <x:v>DIPERTAHANKAN</x:v>
      </x:c>
    </x:row>
    <x:row r="6" ht="34.5">
      <x:c r="A6" s="28" t="str">
        <x:v>F-02</x:v>
      </x:c>
      <x:c r="B6" s="28" t="str">
        <x:v>Profile</x:v>
      </x:c>
      <x:c r="C6" s="28" t="str">
        <x:v>Apakah halaman Profile membantu saya mengambil next step yang tepat?</x:v>
      </x:c>
      <x:c r="D6" s="28" t="str">
        <x:v>Explain brand, operator, approach, and prototype team</x:v>
      </x:c>
      <x:c r="E6" s="28" t="str">
        <x:v>PT Karya Usaha Sukses, 2015, Tangerang, by Kultivate</x:v>
      </x:c>
      <x:c r="F6" s="28" t="str">
        <x:v>TERSEDIA UNTUK STRUKTUR</x:v>
      </x:c>
      <x:c r="G6" s="28" t="str">
        <x:v>Registration/public contact pending</x:v>
      </x:c>
      <x:c r="H6" s="28" t="str">
        <x:v>Website + user decision</x:v>
      </x:c>
      <x:c r="I6" s="32" t="str">
        <x:v>DIPERBARUI</x:v>
      </x:c>
    </x:row>
    <x:row r="7" ht="23">
      <x:c r="A7" s="28" t="str">
        <x:v>F-03</x:v>
      </x:c>
      <x:c r="B7" s="28" t="str">
        <x:v>Profile Detail</x:v>
      </x:c>
      <x:c r="C7" s="28" t="str">
        <x:v>Apakah halaman Profile Detail membantu saya mengambil next step yang tepat?</x:v>
      </x:c>
      <x:c r="D7" s="28" t="str">
        <x:v>Demonstrate high-fidelity profile pattern</x:v>
      </x:c>
      <x:c r="E7" s="28" t="str">
        <x:v>Dummy role, expertise, placeholder credential</x:v>
      </x:c>
      <x:c r="F7" s="28" t="str">
        <x:v>TERSEDIA UNTUK STRUKTUR</x:v>
      </x:c>
      <x:c r="G7" s="28" t="str">
        <x:v>Noindex; remove/replace at launch</x:v>
      </x:c>
      <x:c r="H7" s="28" t="str">
        <x:v>Website + user decision</x:v>
      </x:c>
      <x:c r="I7" s="34" t="str">
        <x:v>DATA DUMMY</x:v>
      </x:c>
    </x:row>
    <x:row r="8" ht="23">
      <x:c r="A8" s="28" t="str">
        <x:v>F-04</x:v>
      </x:c>
      <x:c r="B8" s="28" t="str">
        <x:v>Services</x:v>
      </x:c>
      <x:c r="C8" s="28" t="str">
        <x:v>Apakah halaman Services membantu saya mengambil next step yang tepat?</x:v>
      </x:c>
      <x:c r="D8" s="28" t="str">
        <x:v>Orient users to four approved service categories</x:v>
      </x:c>
      <x:c r="E8" s="28" t="str">
        <x:v>Four categories, generic scope</x:v>
      </x:c>
      <x:c r="F8" s="28" t="str">
        <x:v>TERSEDIA UNTUK STRUKTUR</x:v>
      </x:c>
      <x:c r="G8" s="28" t="str">
        <x:v>No detail pages</x:v>
      </x:c>
      <x:c r="H8" s="28" t="str">
        <x:v>Website + user decision</x:v>
      </x:c>
      <x:c r="I8" s="45" t="str">
        <x:v>DIPERTAHANKAN</x:v>
      </x:c>
    </x:row>
    <x:row r="9" ht="23">
      <x:c r="A9" s="28" t="str">
        <x:v>F-05</x:v>
      </x:c>
      <x:c r="B9" s="28" t="str">
        <x:v>Our Experiences</x:v>
      </x:c>
      <x:c r="C9" s="28" t="str">
        <x:v>Apakah halaman Our Experiences membantu saya mengambil next step yang tepat?</x:v>
      </x:c>
      <x:c r="D9" s="28" t="str">
        <x:v>Demonstrate experience/case-study pattern</x:v>
      </x:c>
      <x:c r="E9" s="28" t="str">
        <x:v>Three dummy cases/testimonials</x:v>
      </x:c>
      <x:c r="F9" s="28" t="str">
        <x:v>TERSEDIA UNTUK STRUKTUR</x:v>
      </x:c>
      <x:c r="G9" s="28" t="str">
        <x:v>Not factual proof</x:v>
      </x:c>
      <x:c r="H9" s="28" t="str">
        <x:v>Website</x:v>
      </x:c>
      <x:c r="I9" s="34" t="str">
        <x:v>DATA DUMMY</x:v>
      </x:c>
    </x:row>
    <x:row r="10" ht="23">
      <x:c r="A10" s="28" t="str">
        <x:v>F-06</x:v>
      </x:c>
      <x:c r="B10" s="28" t="str">
        <x:v>Blog</x:v>
      </x:c>
      <x:c r="C10" s="28" t="str">
        <x:v>Apakah halaman Blog membantu saya mengambil next step yang tepat?</x:v>
      </x:c>
      <x:c r="D10" s="28" t="str">
        <x:v>List preview knowledge content</x:v>
      </x:c>
      <x:c r="E10" s="28" t="str">
        <x:v>Six bilingual preview articles</x:v>
      </x:c>
      <x:c r="F10" s="28" t="str">
        <x:v>TERSEDIA UNTUK STRUKTUR</x:v>
      </x:c>
      <x:c r="G10" s="28" t="str">
        <x:v>Exclude from launch until reviewed</x:v>
      </x:c>
      <x:c r="H10" s="28" t="str">
        <x:v>Website + user decision</x:v>
      </x:c>
      <x:c r="I10" s="34" t="str">
        <x:v>TIDAK BOLEH TAYANG</x:v>
      </x:c>
    </x:row>
    <x:row r="11" ht="23">
      <x:c r="A11" s="28" t="str">
        <x:v>F-07</x:v>
      </x:c>
      <x:c r="B11" s="28" t="str">
        <x:v>Article Detail</x:v>
      </x:c>
      <x:c r="C11" s="28" t="str">
        <x:v>Apakah halaman Article Detail membantu saya mengambil next step yang tepat?</x:v>
      </x:c>
      <x:c r="D11" s="28" t="str">
        <x:v>Explain one regulatory topic in preview</x:v>
      </x:c>
      <x:c r="E11" s="28" t="str">
        <x:v>Article, translation, related posts</x:v>
      </x:c>
      <x:c r="F11" s="28" t="str">
        <x:v>TERSEDIA UNTUK STRUKTUR</x:v>
      </x:c>
      <x:c r="G11" s="28" t="str">
        <x:v>No reviewer/current-law record</x:v>
      </x:c>
      <x:c r="H11" s="28" t="str">
        <x:v>Website + user decision</x:v>
      </x:c>
      <x:c r="I11" s="34" t="str">
        <x:v>TIDAK BOLEH TAYANG</x:v>
      </x:c>
    </x:row>
    <x:row r="12" ht="23">
      <x:c r="A12" s="28" t="str">
        <x:v>F-08</x:v>
      </x:c>
      <x:c r="B12" s="28" t="str">
        <x:v>Contact</x:v>
      </x:c>
      <x:c r="C12" s="28" t="str">
        <x:v>Apakah halaman Contact membantu saya mengambil next step yang tepat?</x:v>
      </x:c>
      <x:c r="D12" s="28" t="str">
        <x:v>Capture enough context for follow-up</x:v>
      </x:c>
      <x:c r="E12" s="28" t="str">
        <x:v>Form, consent, validation, Resend</x:v>
      </x:c>
      <x:c r="F12" s="28" t="str">
        <x:v>TERSEDIA UNTUK STRUKTUR</x:v>
      </x:c>
      <x:c r="G12" s="28" t="str">
        <x:v>Modal target not implemented</x:v>
      </x:c>
      <x:c r="H12" s="28" t="str">
        <x:v>Website + user decision</x:v>
      </x:c>
      <x:c r="I12" s="32" t="str">
        <x:v>DIPERBARUI</x:v>
      </x:c>
    </x:row>
    <x:row r="13" ht="23">
      <x:c r="A13" s="28" t="str">
        <x:v>B-01</x:v>
      </x:c>
      <x:c r="B13" s="28" t="str">
        <x:v>Service Detail - Pendirian</x:v>
      </x:c>
      <x:c r="C13" s="28" t="str">
        <x:v>Apakah halaman Service Detail - Pendirian membantu saya mengambil next step yang tepat?</x:v>
      </x:c>
      <x:c r="D13" s="28" t="str">
        <x:v>Explain detailed scope</x:v>
      </x:c>
      <x:c r="E13" s="28" t="str">
        <x:v>Deliverables, checklist, timeline</x:v>
      </x:c>
      <x:c r="F13" s="28" t="str">
        <x:v>BELUM TERSEDIA</x:v>
      </x:c>
      <x:c r="G13" s="28" t="str">
        <x:v>Backlog</x:v>
      </x:c>
      <x:c r="H13" s="28" t="str">
        <x:v>Fase 2</x:v>
      </x:c>
      <x:c r="I13" s="34" t="str">
        <x:v>TIDAK DITEMUKAN DI WEBSITE</x:v>
      </x:c>
    </x:row>
    <x:row r="14" ht="23">
      <x:c r="A14" s="28" t="str">
        <x:v>B-02</x:v>
      </x:c>
      <x:c r="B14" s="28" t="str">
        <x:v>Service Detail - Risiko</x:v>
      </x:c>
      <x:c r="C14" s="28" t="str">
        <x:v>Apakah halaman Service Detail - Risiko membantu saya mengambil next step yang tepat?</x:v>
      </x:c>
      <x:c r="D14" s="28" t="str">
        <x:v>Explain detailed scope</x:v>
      </x:c>
      <x:c r="E14" s="28" t="str">
        <x:v>Deliverables, checklist, timeline</x:v>
      </x:c>
      <x:c r="F14" s="28" t="str">
        <x:v>BELUM TERSEDIA</x:v>
      </x:c>
      <x:c r="G14" s="28" t="str">
        <x:v>Backlog</x:v>
      </x:c>
      <x:c r="H14" s="28" t="str">
        <x:v>Fase 2</x:v>
      </x:c>
      <x:c r="I14" s="34" t="str">
        <x:v>TIDAK DITEMUKAN DI WEBSITE</x:v>
      </x:c>
    </x:row>
    <x:row r="15" ht="23">
      <x:c r="A15" s="28" t="str">
        <x:v>B-03</x:v>
      </x:c>
      <x:c r="B15" s="28" t="str">
        <x:v>Service Detail - Kepatuhan</x:v>
      </x:c>
      <x:c r="C15" s="28" t="str">
        <x:v>Apakah halaman Service Detail - Kepatuhan membantu saya mengambil next step yang tepat?</x:v>
      </x:c>
      <x:c r="D15" s="28" t="str">
        <x:v>Explain detailed scope</x:v>
      </x:c>
      <x:c r="E15" s="28" t="str">
        <x:v>Deliverables, checklist, timeline</x:v>
      </x:c>
      <x:c r="F15" s="28" t="str">
        <x:v>BELUM TERSEDIA</x:v>
      </x:c>
      <x:c r="G15" s="28" t="str">
        <x:v>Backlog</x:v>
      </x:c>
      <x:c r="H15" s="28" t="str">
        <x:v>Fase 2</x:v>
      </x:c>
      <x:c r="I15" s="34" t="str">
        <x:v>TIDAK DITEMUKAN DI WEBSITE</x:v>
      </x:c>
    </x:row>
    <x:row r="16" ht="23">
      <x:c r="A16" s="28" t="str">
        <x:v>B-04</x:v>
      </x:c>
      <x:c r="B16" s="28" t="str">
        <x:v>Service Detail - Proyek</x:v>
      </x:c>
      <x:c r="C16" s="28" t="str">
        <x:v>Apakah halaman Service Detail - Proyek membantu saya mengambil next step yang tepat?</x:v>
      </x:c>
      <x:c r="D16" s="28" t="str">
        <x:v>Explain detailed scope</x:v>
      </x:c>
      <x:c r="E16" s="28" t="str">
        <x:v>Deliverables, checklist, timeline</x:v>
      </x:c>
      <x:c r="F16" s="28" t="str">
        <x:v>BELUM TERSEDIA</x:v>
      </x:c>
      <x:c r="G16" s="28" t="str">
        <x:v>Backlog</x:v>
      </x:c>
      <x:c r="H16" s="28" t="str">
        <x:v>Fase 2</x:v>
      </x:c>
      <x:c r="I16" s="34" t="str">
        <x:v>TIDAK DITEMUKAN DI WEBSITE</x:v>
      </x:c>
    </x:row>
    <x:row r="17" ht="23">
      <x:c r="A17" s="28" t="str">
        <x:v>B-05</x:v>
      </x:c>
      <x:c r="B17" s="28" t="str">
        <x:v>FAQ</x:v>
      </x:c>
      <x:c r="C17" s="28" t="str">
        <x:v>Apakah halaman FAQ membantu saya mengambil next step yang tepat?</x:v>
      </x:c>
      <x:c r="D17" s="28" t="str">
        <x:v>Resolve reviewed common questions</x:v>
      </x:c>
      <x:c r="E17" s="28" t="str">
        <x:v>Approved answers</x:v>
      </x:c>
      <x:c r="F17" s="28" t="str">
        <x:v>BELUM TERSEDIA</x:v>
      </x:c>
      <x:c r="G17" s="28" t="str">
        <x:v>Backlog</x:v>
      </x:c>
      <x:c r="H17" s="28" t="str">
        <x:v>Fase 2</x:v>
      </x:c>
      <x:c r="I17" s="34" t="str">
        <x:v>TIDAK DITEMUKAN DI WEBSITE</x:v>
      </x:c>
    </x:row>
    <x:row r="18" ht="23">
      <x:c r="A18" s="28" t="str">
        <x:v>B-06</x:v>
      </x:c>
      <x:c r="B18" s="28" t="str">
        <x:v>Privacy Policy</x:v>
      </x:c>
      <x:c r="C18" s="28" t="str">
        <x:v>Apakah halaman Privacy Policy membantu saya mengambil next step yang tepat?</x:v>
      </x:c>
      <x:c r="D18" s="28" t="str">
        <x:v>Explain data processing</x:v>
      </x:c>
      <x:c r="E18" s="28" t="str">
        <x:v>Approved policy</x:v>
      </x:c>
      <x:c r="F18" s="28" t="str">
        <x:v>BELUM TERSEDIA</x:v>
      </x:c>
      <x:c r="G18" s="28" t="str">
        <x:v>Launch blocker</x:v>
      </x:c>
      <x:c r="H18" s="28" t="str">
        <x:v>Fase 2</x:v>
      </x:c>
      <x:c r="I18" s="34" t="str">
        <x:v>TIDAK DITEMUKAN DI WEBSITE</x:v>
      </x:c>
    </x:row>
    <x:row r="19" ht="23">
      <x:c r="A19" s="28" t="str">
        <x:v>B-07</x:v>
      </x:c>
      <x:c r="B19" s="28" t="str">
        <x:v>Terms &amp; Disclaimer</x:v>
      </x:c>
      <x:c r="C19" s="28" t="str">
        <x:v>Apakah halaman Terms &amp; Disclaimer membantu saya mengambil next step yang tepat?</x:v>
      </x:c>
      <x:c r="D19" s="28" t="str">
        <x:v>Explain usage boundaries</x:v>
      </x:c>
      <x:c r="E19" s="28" t="str">
        <x:v>Approved terms</x:v>
      </x:c>
      <x:c r="F19" s="28" t="str">
        <x:v>BELUM TERSEDIA</x:v>
      </x:c>
      <x:c r="G19" s="28" t="str">
        <x:v>Launch blocker</x:v>
      </x:c>
      <x:c r="H19" s="28" t="str">
        <x:v>Fase 2</x:v>
      </x:c>
      <x:c r="I19" s="34" t="str">
        <x:v>TIDAK DITEMUKAN DI WEBSITE</x:v>
      </x:c>
    </x:row>
  </x:sheetData>
  <x:mergeCells>
    <x:mergeCell ref="A1:I1"/>
    <x:mergeCell ref="A2:I3"/>
  </x:mergeCells>
  <x:dataValidations count="1">
    <x:dataValidation type="list" sqref="I5:I200">
      <x:formula1>"DIPERTAHANKAN,DIPERBARUI,DIGABUNGKAN,DIPINDAHKAN,DIHAPUS DENGAN ALASAN,DATA DUMMY,PLACEHOLDER INTERNAL,MENUNGGU VERIFIKASI,TIDAK BOLEH TAYANG,TIDAK DITEMUKAN DI WEBSITE,DITEMUKAN DI WEBSITE TETAPI BELUM ADA DI DOKUMEN"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20f988df46d420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ColWidth="9" defaultRowHeight="14"/>
  <x:cols>
    <x:col min="1" max="1" width="12" hidden="0" customWidth="1"/>
    <x:col min="2" max="2" width="28" hidden="0" customWidth="1"/>
    <x:col min="3" max="4" width="36" customWidth="1"/>
    <x:col min="3" max="3" width="54" hidden="0" customWidth="1"/>
    <x:col min="4" max="4" width="54" hidden="0" customWidth="1"/>
    <x:col min="5" max="5" width="38" hidden="0" customWidth="1"/>
    <x:col min="6" max="6" width="46" hidden="0" customWidth="1"/>
  </x:cols>
  <x:sheetData>
    <x:row r="1" ht="34" customHeight="1">
      <x:c r="A1" s="18" t="str">
        <x:v>Job and Question Alignment</x:v>
      </x:c>
      <x:c r="B1" s="18"/>
      <x:c r="C1" s="18"/>
      <x:c r="D1" s="18"/>
      <x:c r="E1" s="49"/>
      <x:c r="F1" s="49"/>
    </x:row>
    <x:row r="2" ht="28" customHeight="1">
      <x:c r="A2" s="20" t="str">
        <x:v>Audit of page job, visitor question, decision, and remaining dependency.</x:v>
      </x:c>
      <x:c r="B2" s="20"/>
      <x:c r="C2" s="20"/>
      <x:c r="D2" s="20"/>
      <x:c r="E2" s="52"/>
      <x:c r="F2" s="52"/>
    </x:row>
    <x:row r="3">
      <x:c r="A3" s="8"/>
      <x:c r="B3" s="8"/>
      <x:c r="C3" s="8"/>
      <x:c r="D3" s="8"/>
      <x:c r="E3" s="5"/>
      <x:c r="F3" s="5"/>
    </x:row>
    <x:row r="4" ht="34" customHeight="1">
      <x:c r="A4" s="23" t="str">
        <x:v>ID</x:v>
      </x:c>
      <x:c r="B4" s="23" t="str">
        <x:v>Halaman</x:v>
      </x:c>
      <x:c r="C4" s="23" t="str">
        <x:v>Pekerjaan Utama</x:v>
      </x:c>
      <x:c r="D4" s="23" t="str">
        <x:v>Pertanyaan Utama</x:v>
      </x:c>
      <x:c r="E4" s="57" t="str">
        <x:v>Keputusan</x:v>
      </x:c>
      <x:c r="F4" s="57" t="str">
        <x:v>Catatan</x:v>
      </x:c>
    </x:row>
    <x:row r="5" ht="23">
      <x:c r="A5" s="27" t="str">
        <x:v>F-01</x:v>
      </x:c>
      <x:c r="B5" s="27" t="str">
        <x:v>Home</x:v>
      </x:c>
      <x:c r="C5" s="27" t="str">
        <x:v>Explain relevance and route to consultation or services</x:v>
      </x:c>
      <x:c r="D5" s="27" t="str">
        <x:v>Apakah halaman Home membantu saya mengambil next step yang tepat?</x:v>
      </x:c>
      <x:c r="E5" s="30" t="str">
        <x:v>DIPERTAHANKAN</x:v>
      </x:c>
      <x:c r="F5" s="27" t="str">
        <x:v>Primary CTA is consultation</x:v>
      </x:c>
    </x:row>
    <x:row r="6" ht="34.5">
      <x:c r="A6" s="28" t="str">
        <x:v>F-02</x:v>
      </x:c>
      <x:c r="B6" s="28" t="str">
        <x:v>Profile</x:v>
      </x:c>
      <x:c r="C6" s="28" t="str">
        <x:v>Explain brand, operator, approach, and prototype team</x:v>
      </x:c>
      <x:c r="D6" s="28" t="str">
        <x:v>Apakah halaman Profile membantu saya mengambil next step yang tepat?</x:v>
      </x:c>
      <x:c r="E6" s="32" t="str">
        <x:v>DIPERBARUI</x:v>
      </x:c>
      <x:c r="F6" s="28" t="str">
        <x:v>Registration/public contact pending</x:v>
      </x:c>
    </x:row>
    <x:row r="7" ht="23">
      <x:c r="A7" s="28" t="str">
        <x:v>F-03</x:v>
      </x:c>
      <x:c r="B7" s="28" t="str">
        <x:v>Profile Detail</x:v>
      </x:c>
      <x:c r="C7" s="28" t="str">
        <x:v>Demonstrate high-fidelity profile pattern</x:v>
      </x:c>
      <x:c r="D7" s="28" t="str">
        <x:v>Apakah halaman Profile Detail membantu saya mengambil next step yang tepat?</x:v>
      </x:c>
      <x:c r="E7" s="34" t="str">
        <x:v>DATA DUMMY</x:v>
      </x:c>
      <x:c r="F7" s="28" t="str">
        <x:v>Noindex; remove/replace at launch</x:v>
      </x:c>
    </x:row>
    <x:row r="8" ht="23">
      <x:c r="A8" s="28" t="str">
        <x:v>F-04</x:v>
      </x:c>
      <x:c r="B8" s="28" t="str">
        <x:v>Services</x:v>
      </x:c>
      <x:c r="C8" s="28" t="str">
        <x:v>Orient users to four approved service categories</x:v>
      </x:c>
      <x:c r="D8" s="28" t="str">
        <x:v>Apakah halaman Services membantu saya mengambil next step yang tepat?</x:v>
      </x:c>
      <x:c r="E8" s="45" t="str">
        <x:v>DIPERTAHANKAN</x:v>
      </x:c>
      <x:c r="F8" s="28" t="str">
        <x:v>No detail pages</x:v>
      </x:c>
    </x:row>
    <x:row r="9" ht="23">
      <x:c r="A9" s="28" t="str">
        <x:v>F-05</x:v>
      </x:c>
      <x:c r="B9" s="28" t="str">
        <x:v>Our Experiences</x:v>
      </x:c>
      <x:c r="C9" s="28" t="str">
        <x:v>Demonstrate experience/case-study pattern</x:v>
      </x:c>
      <x:c r="D9" s="28" t="str">
        <x:v>Apakah halaman Our Experiences membantu saya mengambil next step yang tepat?</x:v>
      </x:c>
      <x:c r="E9" s="34" t="str">
        <x:v>DATA DUMMY</x:v>
      </x:c>
      <x:c r="F9" s="28" t="str">
        <x:v>Not factual proof</x:v>
      </x:c>
    </x:row>
    <x:row r="10" ht="23">
      <x:c r="A10" s="28" t="str">
        <x:v>F-06</x:v>
      </x:c>
      <x:c r="B10" s="28" t="str">
        <x:v>Blog</x:v>
      </x:c>
      <x:c r="C10" s="28" t="str">
        <x:v>List preview knowledge content</x:v>
      </x:c>
      <x:c r="D10" s="28" t="str">
        <x:v>Apakah halaman Blog membantu saya mengambil next step yang tepat?</x:v>
      </x:c>
      <x:c r="E10" s="34" t="str">
        <x:v>TIDAK BOLEH TAYANG</x:v>
      </x:c>
      <x:c r="F10" s="28" t="str">
        <x:v>Exclude from launch until reviewed</x:v>
      </x:c>
    </x:row>
    <x:row r="11" ht="23">
      <x:c r="A11" s="28" t="str">
        <x:v>F-07</x:v>
      </x:c>
      <x:c r="B11" s="28" t="str">
        <x:v>Article Detail</x:v>
      </x:c>
      <x:c r="C11" s="28" t="str">
        <x:v>Explain one regulatory topic in preview</x:v>
      </x:c>
      <x:c r="D11" s="28" t="str">
        <x:v>Apakah halaman Article Detail membantu saya mengambil next step yang tepat?</x:v>
      </x:c>
      <x:c r="E11" s="34" t="str">
        <x:v>TIDAK BOLEH TAYANG</x:v>
      </x:c>
      <x:c r="F11" s="28" t="str">
        <x:v>No reviewer/current-law record</x:v>
      </x:c>
    </x:row>
    <x:row r="12" ht="23">
      <x:c r="A12" s="28" t="str">
        <x:v>F-08</x:v>
      </x:c>
      <x:c r="B12" s="28" t="str">
        <x:v>Contact</x:v>
      </x:c>
      <x:c r="C12" s="28" t="str">
        <x:v>Capture enough context for follow-up</x:v>
      </x:c>
      <x:c r="D12" s="28" t="str">
        <x:v>Apakah halaman Contact membantu saya mengambil next step yang tepat?</x:v>
      </x:c>
      <x:c r="E12" s="32" t="str">
        <x:v>DIPERBARUI</x:v>
      </x:c>
      <x:c r="F12" s="28" t="str">
        <x:v>Modal target not implemented</x:v>
      </x:c>
    </x:row>
    <x:row r="13" ht="23">
      <x:c r="A13" s="28" t="str">
        <x:v>B-01</x:v>
      </x:c>
      <x:c r="B13" s="28" t="str">
        <x:v>Service Detail - Pendirian</x:v>
      </x:c>
      <x:c r="C13" s="28" t="str">
        <x:v>Explain detailed scope</x:v>
      </x:c>
      <x:c r="D13" s="28" t="str">
        <x:v>Apakah halaman Service Detail - Pendirian membantu saya mengambil next step yang tepat?</x:v>
      </x:c>
      <x:c r="E13" s="34" t="str">
        <x:v>TIDAK DITEMUKAN DI WEBSITE</x:v>
      </x:c>
      <x:c r="F13" s="28" t="str">
        <x:v>Backlog</x:v>
      </x:c>
    </x:row>
    <x:row r="14" ht="23">
      <x:c r="A14" s="28" t="str">
        <x:v>B-02</x:v>
      </x:c>
      <x:c r="B14" s="28" t="str">
        <x:v>Service Detail - Risiko</x:v>
      </x:c>
      <x:c r="C14" s="28" t="str">
        <x:v>Explain detailed scope</x:v>
      </x:c>
      <x:c r="D14" s="28" t="str">
        <x:v>Apakah halaman Service Detail - Risiko membantu saya mengambil next step yang tepat?</x:v>
      </x:c>
      <x:c r="E14" s="34" t="str">
        <x:v>TIDAK DITEMUKAN DI WEBSITE</x:v>
      </x:c>
      <x:c r="F14" s="28" t="str">
        <x:v>Backlog</x:v>
      </x:c>
    </x:row>
    <x:row r="15" ht="23">
      <x:c r="A15" s="28" t="str">
        <x:v>B-03</x:v>
      </x:c>
      <x:c r="B15" s="28" t="str">
        <x:v>Service Detail - Kepatuhan</x:v>
      </x:c>
      <x:c r="C15" s="28" t="str">
        <x:v>Explain detailed scope</x:v>
      </x:c>
      <x:c r="D15" s="28" t="str">
        <x:v>Apakah halaman Service Detail - Kepatuhan membantu saya mengambil next step yang tepat?</x:v>
      </x:c>
      <x:c r="E15" s="34" t="str">
        <x:v>TIDAK DITEMUKAN DI WEBSITE</x:v>
      </x:c>
      <x:c r="F15" s="28" t="str">
        <x:v>Backlog</x:v>
      </x:c>
    </x:row>
    <x:row r="16" ht="23">
      <x:c r="A16" s="28" t="str">
        <x:v>B-04</x:v>
      </x:c>
      <x:c r="B16" s="28" t="str">
        <x:v>Service Detail - Proyek</x:v>
      </x:c>
      <x:c r="C16" s="28" t="str">
        <x:v>Explain detailed scope</x:v>
      </x:c>
      <x:c r="D16" s="28" t="str">
        <x:v>Apakah halaman Service Detail - Proyek membantu saya mengambil next step yang tepat?</x:v>
      </x:c>
      <x:c r="E16" s="34" t="str">
        <x:v>TIDAK DITEMUKAN DI WEBSITE</x:v>
      </x:c>
      <x:c r="F16" s="28" t="str">
        <x:v>Backlog</x:v>
      </x:c>
    </x:row>
    <x:row r="17" ht="23">
      <x:c r="A17" s="28" t="str">
        <x:v>B-05</x:v>
      </x:c>
      <x:c r="B17" s="28" t="str">
        <x:v>FAQ</x:v>
      </x:c>
      <x:c r="C17" s="28" t="str">
        <x:v>Resolve reviewed common questions</x:v>
      </x:c>
      <x:c r="D17" s="28" t="str">
        <x:v>Apakah halaman FAQ membantu saya mengambil next step yang tepat?</x:v>
      </x:c>
      <x:c r="E17" s="34" t="str">
        <x:v>TIDAK DITEMUKAN DI WEBSITE</x:v>
      </x:c>
      <x:c r="F17" s="28" t="str">
        <x:v>Backlog</x:v>
      </x:c>
    </x:row>
    <x:row r="18" ht="23">
      <x:c r="A18" s="28" t="str">
        <x:v>B-06</x:v>
      </x:c>
      <x:c r="B18" s="28" t="str">
        <x:v>Privacy Policy</x:v>
      </x:c>
      <x:c r="C18" s="28" t="str">
        <x:v>Explain data processing</x:v>
      </x:c>
      <x:c r="D18" s="28" t="str">
        <x:v>Apakah halaman Privacy Policy membantu saya mengambil next step yang tepat?</x:v>
      </x:c>
      <x:c r="E18" s="34" t="str">
        <x:v>TIDAK DITEMUKAN DI WEBSITE</x:v>
      </x:c>
      <x:c r="F18" s="28" t="str">
        <x:v>Launch blocker</x:v>
      </x:c>
    </x:row>
    <x:row r="19" ht="23">
      <x:c r="A19" s="28" t="str">
        <x:v>B-07</x:v>
      </x:c>
      <x:c r="B19" s="28" t="str">
        <x:v>Terms &amp; Disclaimer</x:v>
      </x:c>
      <x:c r="C19" s="28" t="str">
        <x:v>Explain usage boundaries</x:v>
      </x:c>
      <x:c r="D19" s="28" t="str">
        <x:v>Apakah halaman Terms &amp; Disclaimer membantu saya mengambil next step yang tepat?</x:v>
      </x:c>
      <x:c r="E19" s="34" t="str">
        <x:v>TIDAK DITEMUKAN DI WEBSITE</x:v>
      </x:c>
      <x:c r="F19" s="28" t="str">
        <x:v>Launch blocker</x:v>
      </x:c>
    </x:row>
  </x:sheetData>
  <x:mergeCells>
    <x:mergeCell ref="A1:D1"/>
    <x:mergeCell ref="A2:D3"/>
  </x:mergeCells>
  <x:dataValidations count="1">
    <x:dataValidation type="list" sqref="E5:E200">
      <x:formula1>"DIPERTAHANKAN,DIPERBARUI,DIGABUNGKAN,DIPINDAHKAN,DIHAPUS DENGAN ALASAN,DATA DUMMY,PLACEHOLDER INTERNAL,MENUNGGU VERIFIKASI,TIDAK BOLEH TAYANG,TIDAK DITEMUKAN DI WEBSITE,DITEMUKAN DI WEBSITE TETAPI BELUM ADA DI DOKUMEN"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fa60b8beb824d0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ColWidth="9" defaultRowHeight="14"/>
  <x:cols>
    <x:col min="1" max="1" width="30" hidden="0" customWidth="1"/>
    <x:col min="2" max="3" width="36" customWidth="1"/>
    <x:col min="2" max="2" width="60" hidden="0" customWidth="1"/>
    <x:col min="3" max="3" width="18" hidden="0" customWidth="1"/>
    <x:col min="4" max="4" width="42" hidden="0" customWidth="1"/>
    <x:col min="5" max="5" width="22" hidden="0" customWidth="1"/>
    <x:col min="6" max="6" width="14" hidden="0" customWidth="1"/>
  </x:cols>
  <x:sheetData>
    <x:row r="1" ht="34" customHeight="1">
      <x:c r="A1" s="18" t="str">
        <x:v>Content Dependencies - Aligned</x:v>
      </x:c>
      <x:c r="B1" s="18"/>
      <x:c r="C1" s="18"/>
      <x:c r="D1" s="49"/>
      <x:c r="E1" s="49"/>
      <x:c r="F1" s="49"/>
    </x:row>
    <x:row r="2" ht="28" customHeight="1">
      <x:c r="A2" s="20" t="str">
        <x:v>Dependencies are separated between prototype tolerance and launch gate.</x:v>
      </x:c>
      <x:c r="B2" s="20"/>
      <x:c r="C2" s="20"/>
      <x:c r="D2" s="52"/>
      <x:c r="E2" s="52"/>
      <x:c r="F2" s="52"/>
    </x:row>
    <x:row r="3">
      <x:c r="A3" s="8"/>
      <x:c r="B3" s="8"/>
      <x:c r="C3" s="8"/>
    </x:row>
    <x:row r="4" ht="34" customHeight="1">
      <x:c r="A4" s="23" t="str">
        <x:v>Page</x:v>
      </x:c>
      <x:c r="B4" s="23" t="str">
        <x:v>Dependency</x:v>
      </x:c>
      <x:c r="C4" s="23" t="str">
        <x:v>Status</x:v>
      </x:c>
      <x:c r="D4" s="57" t="str">
        <x:v>Prototype Rule</x:v>
      </x:c>
      <x:c r="E4" s="57" t="str">
        <x:v>Required</x:v>
      </x:c>
      <x:c r="F4" s="57" t="str">
        <x:v>Priority</x:v>
      </x:c>
    </x:row>
    <x:row r="5">
      <x:c r="A5" s="27" t="str">
        <x:v>Home</x:v>
      </x:c>
      <x:c r="B5" s="27" t="str">
        <x:v>Approved public contact, final service catalog, real proof</x:v>
      </x:c>
      <x:c r="C5" s="27" t="str">
        <x:v>PARTIAL</x:v>
      </x:c>
      <x:c r="D5" s="27" t="str">
        <x:v>Prototype may remain staging</x:v>
      </x:c>
      <x:c r="E5" s="27" t="str">
        <x:v>Before launch</x:v>
      </x:c>
      <x:c r="F5" s="27" t="str">
        <x:v>P1</x:v>
      </x:c>
    </x:row>
    <x:row r="6" ht="23">
      <x:c r="A6" s="28" t="str">
        <x:v>Profile</x:v>
      </x:c>
      <x:c r="B6" s="28" t="str">
        <x:v>Registration number, address detail, public contact</x:v>
      </x:c>
      <x:c r="C6" s="28" t="str">
        <x:v>PARTIAL</x:v>
      </x:c>
      <x:c r="D6" s="28" t="str">
        <x:v>Operator/year/city confirmed</x:v>
      </x:c>
      <x:c r="E6" s="28" t="str">
        <x:v>Before launch</x:v>
      </x:c>
      <x:c r="F6" s="28" t="str">
        <x:v>P1</x:v>
      </x:c>
    </x:row>
    <x:row r="7" ht="23">
      <x:c r="A7" s="28" t="str">
        <x:v>Profile Detail</x:v>
      </x:c>
      <x:c r="B7" s="28" t="str">
        <x:v>Real team approval, photos, credentials</x:v>
      </x:c>
      <x:c r="C7" s="28" t="str">
        <x:v>MISSING</x:v>
      </x:c>
      <x:c r="D7" s="28" t="str">
        <x:v>Dummy noindex only</x:v>
      </x:c>
      <x:c r="E7" s="28" t="str">
        <x:v>Before launch</x:v>
      </x:c>
      <x:c r="F7" s="28" t="str">
        <x:v>P1</x:v>
      </x:c>
    </x:row>
    <x:row r="8" ht="23">
      <x:c r="A8" s="28" t="str">
        <x:v>Services</x:v>
      </x:c>
      <x:c r="B8" s="28" t="str">
        <x:v>Approved scope, deliverables, exclusions</x:v>
      </x:c>
      <x:c r="C8" s="28" t="str">
        <x:v>PARTIAL</x:v>
      </x:c>
      <x:c r="D8" s="28" t="str">
        <x:v>Four categories confirmed</x:v>
      </x:c>
      <x:c r="E8" s="28" t="str">
        <x:v>Before launch</x:v>
      </x:c>
      <x:c r="F8" s="28" t="str">
        <x:v>P1</x:v>
      </x:c>
    </x:row>
    <x:row r="9" ht="23">
      <x:c r="A9" s="28" t="str">
        <x:v>Our Experiences</x:v>
      </x:c>
      <x:c r="B9" s="28" t="str">
        <x:v>Real cases, consent, outcomes</x:v>
      </x:c>
      <x:c r="C9" s="28" t="str">
        <x:v>MISSING</x:v>
      </x:c>
      <x:c r="D9" s="28" t="str">
        <x:v>Dummy prototype only</x:v>
      </x:c>
      <x:c r="E9" s="28" t="str">
        <x:v>Before launch</x:v>
      </x:c>
      <x:c r="F9" s="28" t="str">
        <x:v>P1</x:v>
      </x:c>
    </x:row>
    <x:row r="10">
      <x:c r="A10" s="28" t="str">
        <x:v>Blog/Articles</x:v>
      </x:c>
      <x:c r="B10" s="28" t="str">
        <x:v>Legal/editorial review and review date</x:v>
      </x:c>
      <x:c r="C10" s="28" t="str">
        <x:v>MISSING</x:v>
      </x:c>
      <x:c r="D10" s="28" t="str">
        <x:v>Preview-only</x:v>
      </x:c>
      <x:c r="E10" s="28" t="str">
        <x:v>Before launch</x:v>
      </x:c>
      <x:c r="F10" s="28" t="str">
        <x:v>P1</x:v>
      </x:c>
    </x:row>
    <x:row r="11">
      <x:c r="A11" s="28" t="str">
        <x:v>Contact</x:v>
      </x:c>
      <x:c r="B11" s="28" t="str">
        <x:v>Public GP contact and modal Thank You</x:v>
      </x:c>
      <x:c r="C11" s="28" t="str">
        <x:v>PARTIAL</x:v>
      </x:c>
      <x:c r="D11" s="28" t="str">
        <x:v>Resend confirmed</x:v>
      </x:c>
      <x:c r="E11" s="28" t="str">
        <x:v>Before launch</x:v>
      </x:c>
      <x:c r="F11" s="28" t="str">
        <x:v>P1</x:v>
      </x:c>
    </x:row>
    <x:row r="12">
      <x:c r="A12" s="28" t="str">
        <x:v>Privacy/Terms</x:v>
      </x:c>
      <x:c r="B12" s="28" t="str">
        <x:v>Approved legal copy</x:v>
      </x:c>
      <x:c r="C12" s="28" t="str">
        <x:v>MISSING</x:v>
      </x:c>
      <x:c r="D12" s="28" t="str">
        <x:v>No invented copy</x:v>
      </x:c>
      <x:c r="E12" s="28" t="str">
        <x:v>Before launch</x:v>
      </x:c>
      <x:c r="F12" s="28" t="str">
        <x:v>P1</x:v>
      </x:c>
    </x:row>
    <x:row r="13">
      <x:c r="A13" s="28" t="str">
        <x:v>Technical</x:v>
      </x:c>
      <x:c r="B13" s="28" t="str">
        <x:v>Purchased domain and verified schema</x:v>
      </x:c>
      <x:c r="C13" s="28" t="str">
        <x:v>MISSING</x:v>
      </x:c>
      <x:c r="D13" s="28" t="str">
        <x:v>Target domain approved</x:v>
      </x:c>
      <x:c r="E13" s="28" t="str">
        <x:v>Before launch</x:v>
      </x:c>
      <x:c r="F13" s="28" t="str">
        <x:v>P1</x:v>
      </x:c>
    </x:row>
    <x:row r="14" ht="23">
      <x:c r="A14" s="7"/>
      <x:c r="B14" s="7"/>
      <x:c r="C14" s="7"/>
    </x:row>
    <x:row r="15">
      <x:c r="A15" s="7"/>
      <x:c r="B15" s="7"/>
      <x:c r="C15" s="7"/>
    </x:row>
    <x:row r="16">
      <x:c r="A16" s="7"/>
      <x:c r="B16" s="7"/>
      <x:c r="C16" s="7"/>
    </x:row>
  </x:sheetData>
  <x:mergeCells>
    <x:mergeCell ref="A1:C1"/>
    <x:mergeCell ref="A2:C3"/>
  </x:mergeCells>
  <x:pageMargins left="0.7" right="0.7" top="0.75" bottom="0.75" header="0.3" footer="0.3"/>
  <x:tableParts count="1">
    <x:tablePart xmlns:r="http://schemas.openxmlformats.org/officeDocument/2006/relationships" r:id="Rcb5a5f05aa064ae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ColWidth="9" defaultRowHeight="14"/>
  <x:cols>
    <x:col min="1" max="1" width="34" hidden="0" customWidth="1"/>
    <x:col min="2" max="2" width="16" hidden="0" customWidth="1"/>
    <x:col min="3" max="3" width="62" hidden="0" customWidth="1"/>
    <x:col min="4" max="4" width="74" hidden="0" customWidth="1"/>
  </x:cols>
  <x:sheetData>
    <x:row r="1" ht="34" customHeight="1">
      <x:c r="A1" s="18" t="str">
        <x:v>Source Notes</x:v>
      </x:c>
      <x:c r="B1" s="18"/>
      <x:c r="C1" s="49"/>
      <x:c r="D1" s="49"/>
      <x:c r="E1" s="2"/>
      <x:c r="F1" s="2"/>
    </x:row>
    <x:row r="2" ht="28" customHeight="1">
      <x:c r="A2" s="67" t="str">
        <x:v>Source hierarchy and traceability for the aligned website architecture.</x:v>
      </x:c>
      <x:c r="B2" s="67"/>
      <x:c r="C2" s="93"/>
      <x:c r="D2" s="93"/>
      <x:c r="E2" s="4"/>
      <x:c r="F2" s="4"/>
    </x:row>
    <x:row r="3">
      <x:c r="C3" s="5"/>
      <x:c r="D3" s="5"/>
      <x:c r="E3" s="5"/>
      <x:c r="F3" s="5"/>
    </x:row>
    <x:row r="4" ht="34" customHeight="1">
      <x:c r="A4" s="23" t="str">
        <x:v>Source</x:v>
      </x:c>
      <x:c r="B4" s="23" t="str">
        <x:v>Priority</x:v>
      </x:c>
      <x:c r="C4" s="57" t="str">
        <x:v>Function</x:v>
      </x:c>
      <x:c r="D4" s="57" t="str">
        <x:v>Location</x:v>
      </x:c>
      <x:c r="E4" s="5"/>
      <x:c r="F4" s="5"/>
    </x:row>
    <x:row r="5" ht="46">
      <x:c r="A5" s="40" t="str">
        <x:v>Website/codebase aktual</x:v>
      </x:c>
      <x:c r="B5" s="40" t="str">
        <x:v>Primary</x:v>
      </x:c>
      <x:c r="C5" s="40" t="str">
        <x:v>Implemented route, page structure, navigation, CTA, user flow, feature, and technical behavior.</x:v>
      </x:c>
      <x:c r="D5" s="40" t="str">
        <x:v>C:\Users\Joshua\OneDrive\Documents\Law\outputs\galdino_partner\website</x:v>
      </x:c>
    </x:row>
    <x:row r="6" ht="34.5">
      <x:c r="A6" s="41" t="str">
        <x:v>Dokumen Fase 2 terbaru</x:v>
      </x:c>
      <x:c r="B6" s="41" t="str">
        <x:v>Secondary</x:v>
      </x:c>
      <x:c r="C6" s="41" t="str">
        <x:v>Architecture and decisions; unimplemented elements are retained as backlog.</x:v>
      </x:c>
      <x:c r="D6" s="41" t="str">
        <x:v>C:\Users\Joshua\OneDrive\Documents\Law\outputs\galdino_partner\plan\FASE 2</x:v>
      </x:c>
    </x:row>
    <x:row r="7" ht="34.5">
      <x:c r="A7" s="41" t="str">
        <x:v>Dokumen Fase 1</x:v>
      </x:c>
      <x:c r="B7" s="41" t="str">
        <x:v>Tertiary</x:v>
      </x:c>
      <x:c r="C7" s="41" t="str">
        <x:v>Discovery, business facts, brand foundation, user needs, and project context.</x:v>
      </x:c>
      <x:c r="D7" s="41" t="str">
        <x:v>C:\Users\Joshua\OneDrive\Documents\Law\outputs\galdino_partner\plan\FASE 1</x:v>
      </x:c>
    </x:row>
    <x:row r="8" ht="34.5">
      <x:c r="A8" s="41" t="str">
        <x:v>Brand Guidelines dan audit pendukung</x:v>
      </x:c>
      <x:c r="B8" s="41" t="str">
        <x:v>Supporting</x:v>
      </x:c>
      <x:c r="C8" s="41" t="str">
        <x:v>Reference only; cannot create claims or expand approved scope.</x:v>
      </x:c>
      <x:c r="D8" s="41" t="str">
        <x:v>C:\Users\Joshua\OneDrive\Documents\Law\outputs\galdino_partner\brand</x:v>
      </x:c>
    </x:row>
    <x:row r="9" ht="23">
      <x:c r="A9" s="41" t="str">
        <x:v>Keputusan pengguna 5 Agustus 2026</x:v>
      </x:c>
      <x:c r="B9" s="41" t="str">
        <x:v>Approval</x:v>
      </x:c>
      <x:c r="C9" s="41" t="str">
        <x:v>Eleven explicit decisions controlling current/backlog, legal identity, prototype content, domain, inquiry, and governance.</x:v>
      </x:c>
      <x:c r="D9" s="41" t="str">
        <x:v>Current Codex task</x:v>
      </x:c>
    </x:row>
  </x:sheetData>
  <x:mergeCells>
    <x:mergeCell ref="A1:B1"/>
    <x:mergeCell ref="A2:B2"/>
  </x:mergeCells>
  <x:pageMargins left="0.7" right="0.7" top="0.75" bottom="0.75" header="0.3" footer="0.3"/>
  <x:tableParts count="1">
    <x:tablePart xmlns:r="http://schemas.openxmlformats.org/officeDocument/2006/relationships" r:id="R2ab269a794b04f4d"/>
  </x:tableParts>
</x:worksheet>
</file>