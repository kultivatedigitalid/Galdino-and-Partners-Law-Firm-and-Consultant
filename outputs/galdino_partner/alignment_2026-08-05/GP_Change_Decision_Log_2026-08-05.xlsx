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2cc26e98b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2ef9fb4fa6e4cf4"/>
    <x:sheet xmlns:r="http://schemas.openxmlformats.org/officeDocument/2006/relationships" name="Change Log" sheetId="2" r:id="Rb2fc04d9dce146e5"/>
    <x:sheet xmlns:r="http://schemas.openxmlformats.org/officeDocument/2006/relationships" name="Decision Log" sheetId="3" r:id="R852eab57b29a4787"/>
    <x:sheet xmlns:r="http://schemas.openxmlformats.org/officeDocument/2006/relationships" name="Cross-file Impact" sheetId="4" r:id="Rbc3502e10f0b4d04"/>
    <x:sheet xmlns:r="http://schemas.openxmlformats.org/officeDocument/2006/relationships" name="Source Notes" sheetId="5" r:id="R44c2fbb0a3aa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b/>
      <x:sz val="19"/>
      <x:color rgb="FFFFFFFF"/>
      <x:name val="Aptos Display"/>
    </x:font>
    <x:font>
      <x:sz val="9"/>
      <x:color rgb="FF0F0F0F"/>
      <x:name val="Aptos"/>
    </x:font>
    <x:font>
      <x:b/>
      <x:sz val="14"/>
      <x:color rgb="FF720D1C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8F1FA"/>
      </x:patternFill>
    </x:fill>
    <x:fill>
      <x:patternFill patternType="solid">
        <x:fgColor rgb="FFFFF4CC"/>
      </x:patternFill>
    </x:fill>
    <x:fill>
      <x:patternFill patternType="solid">
        <x:fgColor rgb="FFF9E9EC"/>
      </x:patternFill>
    </x:fill>
    <x:fill>
      <x:patternFill patternType="solid">
        <x:fgColor rgb="FFE7F5EC"/>
      </x:patternFill>
    </x:fill>
  </x:fills>
  <x:borders count="4">
    <x:border/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4c60fbce046c4" /><Relationship Type="http://schemas.openxmlformats.org/officeDocument/2006/relationships/theme" Target="/xl/theme/theme1.xml" Id="R71f766a4fd8b46fe" /><Relationship Type="http://schemas.openxmlformats.org/officeDocument/2006/relationships/sharedStrings" Target="/xl/sharedStrings.xml" Id="R32067fc1400b4a51" /><Relationship Type="http://schemas.openxmlformats.org/officeDocument/2006/relationships/worksheet" Target="/xl/worksheets/sheet1.xml" Id="Re2ef9fb4fa6e4cf4" /><Relationship Type="http://schemas.openxmlformats.org/officeDocument/2006/relationships/worksheet" Target="/xl/worksheets/sheet2.xml" Id="Rb2fc04d9dce146e5" /><Relationship Type="http://schemas.openxmlformats.org/officeDocument/2006/relationships/worksheet" Target="/xl/worksheets/sheet3.xml" Id="R852eab57b29a4787" /><Relationship Type="http://schemas.openxmlformats.org/officeDocument/2006/relationships/worksheet" Target="/xl/worksheets/sheet4.xml" Id="Rbc3502e10f0b4d04" /><Relationship Type="http://schemas.openxmlformats.org/officeDocument/2006/relationships/worksheet" Target="/xl/worksheets/sheet5.xml" Id="R44c2fbb0a3aa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29" t="str">
        <x:v>Change &amp; Decision Dashboard</x:v>
      </x:c>
      <x:c r="B1" s="29"/>
      <x:c r="C1" s="29"/>
      <x:c r="D1" s="29"/>
      <x:c r="E1" s="29"/>
      <x:c r="F1" s="29"/>
      <x:c r="G1" s="29"/>
      <x:c r="H1" s="29"/>
    </x:row>
    <x:row r="2" ht="26" customHeight="1">
      <x:c r="A2" s="5" t="str">
        <x:v>Audit trail for every update, merge, move, removal, dummy classification, and unresolved item.</x:v>
      </x:c>
      <x:c r="B2" s="5"/>
      <x:c r="C2" s="5"/>
      <x:c r="D2" s="5"/>
      <x:c r="E2" s="5"/>
      <x:c r="F2" s="5"/>
      <x:c r="G2" s="5"/>
      <x:c r="H2" s="5"/>
    </x:row>
    <x:row r="4" ht="28" customHeight="1">
      <x:c r="A4" s="9" t="str">
        <x:v>Metric</x:v>
      </x:c>
      <x:c r="B4" s="9" t="str">
        <x:v>Value</x:v>
      </x:c>
      <x:c r="C4" s="9" t="str">
        <x:v>Note</x:v>
      </x:c>
    </x:row>
    <x:row r="5">
      <x:c r="A5" s="35" t="str">
        <x:v>Change records</x:v>
      </x:c>
      <x:c r="B5" s="41" t="n">
        <x:f>COUNTA('Change Log'!$A$5:$A$100)</x:f>
        <x:v>20</x:v>
      </x:c>
      <x:c r="C5" s="35" t="str">
        <x:v>All include source, reason, impact, classification, and approval.</x:v>
      </x:c>
    </x:row>
    <x:row r="6">
      <x:c r="A6" s="36" t="str">
        <x:v>Approved decisions</x:v>
      </x:c>
      <x:c r="B6" s="42" t="n">
        <x:f>COUNTA('Decision Log'!$A$5:$A$50)</x:f>
        <x:v>11</x:v>
      </x:c>
      <x:c r="C6" s="36" t="str">
        <x:v>Eleven user decisions.</x:v>
      </x:c>
    </x:row>
    <x:row r="7">
      <x:c r="A7" s="36" t="str">
        <x:v>Dummy/placeholder changes</x:v>
      </x:c>
      <x:c r="B7" s="42" t="n">
        <x:f>COUNTIF('Change Log'!$H$5:$H$100,"DATA DUMMY")+COUNTIF('Change Log'!$H$5:$H$100,"PLACEHOLDER INTERNAL")</x:f>
        <x:v>4</x:v>
      </x:c>
      <x:c r="C7" s="36" t="str">
        <x:v>Prototype-only classifications.</x:v>
      </x:c>
    </x:row>
    <x:row r="8">
      <x:c r="A8" s="36" t="str">
        <x:v>Open verification</x:v>
      </x:c>
      <x:c r="B8" s="42" t="n">
        <x:f>COUNTIF('Change Log'!$H$5:$H$100,"MENUNGGU VERIFIKASI")</x:f>
        <x:v>2</x:v>
      </x:c>
      <x:c r="C8" s="36" t="str">
        <x:v>Registration/domain and other unresolved facts.</x:v>
      </x:c>
    </x:row>
    <x:row r="10">
      <x:c r="A10" s="48" t="str">
        <x:v>Alignment control</x:v>
      </x:c>
      <x:c r="B10" s="46" t="str">
        <x:v>Original files remain unchanged. Every aligned deliverable is a new version dated 2026-08-05.</x:v>
      </x:c>
      <x:c r="C10" s="46"/>
      <x:c r="D10" s="46"/>
      <x:c r="E10" s="46"/>
      <x:c r="F10" s="46"/>
      <x:c r="G10" s="46"/>
      <x:c r="H10" s="46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46"/>
      <x:c r="B12" s="46"/>
      <x:c r="C12" s="46"/>
      <x:c r="D12" s="46"/>
      <x:c r="E12" s="46"/>
      <x:c r="F12" s="46"/>
      <x:c r="G12" s="46"/>
      <x:c r="H12" s="46"/>
    </x:row>
  </x:sheetData>
  <x:mergeCells>
    <x:mergeCell ref="B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4" hidden="0" customWidth="1"/>
    <x:col min="4" max="4" width="60" hidden="0" customWidth="1"/>
    <x:col min="5" max="5" width="30" hidden="0" customWidth="1"/>
    <x:col min="6" max="6" width="44" hidden="0" customWidth="1"/>
    <x:col min="7" max="7" width="44" hidden="0" customWidth="1"/>
    <x:col min="8" max="8" width="42" hidden="0" customWidth="1"/>
    <x:col min="9" max="9" width="24" hidden="0" customWidth="1"/>
  </x:cols>
  <x:sheetData>
    <x:row r="1" ht="34" customHeight="1">
      <x:c r="A1" s="3" t="str">
        <x:v>Change Log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Cross-source changes, reasons, impacts, classification, and approval state.</x:v>
      </x:c>
      <x:c r="B2" s="6"/>
      <x:c r="C2" s="6"/>
      <x:c r="D2" s="6"/>
      <x:c r="E2" s="6"/>
      <x:c r="F2" s="6"/>
      <x:c r="G2" s="6"/>
      <x:c r="H2" s="6"/>
      <x:c r="I2" s="6"/>
    </x:row>
    <x:row r="4" ht="34" customHeight="1">
      <x:c r="A4" s="11" t="str">
        <x:v>ID</x:v>
      </x:c>
      <x:c r="B4" s="11" t="str">
        <x:v>Origin</x:v>
      </x:c>
      <x:c r="C4" s="11" t="str">
        <x:v>Previous Data</x:v>
      </x:c>
      <x:c r="D4" s="11" t="str">
        <x:v>Latest Data</x:v>
      </x:c>
      <x:c r="E4" s="11" t="str">
        <x:v>Priority Source</x:v>
      </x:c>
      <x:c r="F4" s="11" t="str">
        <x:v>Reason</x:v>
      </x:c>
      <x:c r="G4" s="11" t="str">
        <x:v>Cross-file Impact</x:v>
      </x:c>
      <x:c r="H4" s="11" t="str">
        <x:v>Classification</x:v>
      </x:c>
      <x:c r="I4" s="11" t="str">
        <x:v>Approval</x:v>
      </x:c>
    </x:row>
    <x:row r="5">
      <x:c r="A5" s="17" t="str">
        <x:v>CL-001</x:v>
      </x:c>
      <x:c r="B5" s="17" t="str">
        <x:v>Blueprint/source hierarchy</x:v>
      </x:c>
      <x:c r="C5" s="17" t="str">
        <x:v>Discovery &gt; Brand &gt; module &gt; audit</x:v>
      </x:c>
      <x:c r="D5" s="17" t="str">
        <x:v>Website &gt; latest F2 &gt; F1 &gt; supporting</x:v>
      </x:c>
      <x:c r="E5" s="17" t="str">
        <x:v>Website/user brief</x:v>
      </x:c>
      <x:c r="F5" s="17" t="str">
        <x:v>Implemented structure must control current documentation</x:v>
      </x:c>
      <x:c r="G5" s="17" t="str">
        <x:v>All files</x:v>
      </x:c>
      <x:c r="H5" s="20" t="str">
        <x:v>DIPERBARUI</x:v>
      </x:c>
      <x:c r="I5" s="17" t="str">
        <x:v>Approved</x:v>
      </x:c>
    </x:row>
    <x:row r="6">
      <x:c r="A6" s="18" t="str">
        <x:v>CL-002</x:v>
      </x:c>
      <x:c r="B6" s="18" t="str">
        <x:v>Legal identity</x:v>
      </x:c>
      <x:c r="C6" s="18" t="str">
        <x:v>Legal name pending</x:v>
      </x:c>
      <x:c r="D6" s="18" t="str">
        <x:v>PT Karya Usaha Sukses operator; 2015; Tangerang</x:v>
      </x:c>
      <x:c r="E6" s="18" t="str">
        <x:v>User confirmation</x:v>
      </x:c>
      <x:c r="F6" s="18" t="str">
        <x:v>Confirmed business fact</x:v>
      </x:c>
      <x:c r="G6" s="18" t="str">
        <x:v>Discovery, Blueprint, Inventory</x:v>
      </x:c>
      <x:c r="H6" s="22" t="str">
        <x:v>DIPERBARUI</x:v>
      </x:c>
      <x:c r="I6" s="18" t="str">
        <x:v>Approved</x:v>
      </x:c>
    </x:row>
    <x:row r="7">
      <x:c r="A7" s="18" t="str">
        <x:v>CL-003</x:v>
      </x:c>
      <x:c r="B7" s="18" t="str">
        <x:v>Registration</x:v>
      </x:c>
      <x:c r="C7" s="18" t="str">
        <x:v>Pending</x:v>
      </x:c>
      <x:c r="D7" s="18" t="str">
        <x:v>Still pending official document</x:v>
      </x:c>
      <x:c r="E7" s="18" t="str">
        <x:v>User confirmation</x:v>
      </x:c>
      <x:c r="F7" s="18" t="str">
        <x:v>Do not invent</x:v>
      </x:c>
      <x:c r="G7" s="18" t="str">
        <x:v>All legal references</x:v>
      </x:c>
      <x:c r="H7" s="24" t="str">
        <x:v>MENUNGGU VERIFIKASI</x:v>
      </x:c>
      <x:c r="I7" s="18" t="str">
        <x:v>Open</x:v>
      </x:c>
    </x:row>
    <x:row r="8">
      <x:c r="A8" s="18" t="str">
        <x:v>CL-004</x:v>
      </x:c>
      <x:c r="B8" s="18" t="str">
        <x:v>Brand descriptor</x:v>
      </x:c>
      <x:c r="C8" s="18" t="str">
        <x:v>Kultivate relationship pending</x:v>
      </x:c>
      <x:c r="D8" s="18" t="str">
        <x:v>Galdino &amp; Partner by Kultivate</x:v>
      </x:c>
      <x:c r="E8" s="18" t="str">
        <x:v>User confirmation</x:v>
      </x:c>
      <x:c r="F8" s="18" t="str">
        <x:v>Relationship approved</x:v>
      </x:c>
      <x:c r="G8" s="18" t="str">
        <x:v>Blueprint, Inventory</x:v>
      </x:c>
      <x:c r="H8" s="22" t="str">
        <x:v>DIPERBARUI</x:v>
      </x:c>
      <x:c r="I8" s="18" t="str">
        <x:v>Approved</x:v>
      </x:c>
    </x:row>
    <x:row r="9">
      <x:c r="A9" s="18" t="str">
        <x:v>CL-005</x:v>
      </x:c>
      <x:c r="B9" s="18" t="str">
        <x:v>Public contact</x:v>
      </x:c>
      <x:c r="C9" s="18" t="str">
        <x:v>Website values treated as contact</x:v>
      </x:c>
      <x:c r="D9" s="18" t="str">
        <x:v>Project/Kultivate placeholder; public GP contact unavailable</x:v>
      </x:c>
      <x:c r="E9" s="18" t="str">
        <x:v>User confirmation</x:v>
      </x:c>
      <x:c r="F9" s="18" t="str">
        <x:v>Prevent false attribution</x:v>
      </x:c>
      <x:c r="G9" s="18" t="str">
        <x:v>Inventory, Missing, Dummy</x:v>
      </x:c>
      <x:c r="H9" s="24" t="str">
        <x:v>PLACEHOLDER INTERNAL</x:v>
      </x:c>
      <x:c r="I9" s="18" t="str">
        <x:v>Approved classification</x:v>
      </x:c>
    </x:row>
    <x:row r="10">
      <x:c r="A10" s="18" t="str">
        <x:v>CL-006</x:v>
      </x:c>
      <x:c r="B10" s="18" t="str">
        <x:v>Routes</x:v>
      </x:c>
      <x:c r="C10" s="18" t="str">
        <x:v>Localized ID slugs and experience/insights</x:v>
      </x:c>
      <x:c r="D10" s="18" t="str">
        <x:v>Implemented profile/services/projects/blog/contact</x:v>
      </x:c>
      <x:c r="E10" s="18" t="str">
        <x:v>Website</x:v>
      </x:c>
      <x:c r="F10" s="18" t="str">
        <x:v>Current routes take priority</x:v>
      </x:c>
      <x:c r="G10" s="18" t="str">
        <x:v>Architecture, Routing</x:v>
      </x:c>
      <x:c r="H10" s="22" t="str">
        <x:v>DIPERBARUI</x:v>
      </x:c>
      <x:c r="I10" s="18" t="str">
        <x:v>Approved</x:v>
      </x:c>
    </x:row>
    <x:row r="11">
      <x:c r="A11" s="18" t="str">
        <x:v>CL-007</x:v>
      </x:c>
      <x:c r="B11" s="18" t="str">
        <x:v>Navigation</x:v>
      </x:c>
      <x:c r="C11" s="18" t="str">
        <x:v>Four items + CTA</x:v>
      </x:c>
      <x:c r="D11" s="18" t="str">
        <x:v>Home + Profile + Services + Our Experiences + Blog + CTA</x:v>
      </x:c>
      <x:c r="E11" s="18" t="str">
        <x:v>Website</x:v>
      </x:c>
      <x:c r="F11" s="18" t="str">
        <x:v>Match desktop/mobile implementation</x:v>
      </x:c>
      <x:c r="G11" s="18" t="str">
        <x:v>Architecture, Routing</x:v>
      </x:c>
      <x:c r="H11" s="22" t="str">
        <x:v>DIPERBARUI</x:v>
      </x:c>
      <x:c r="I11" s="18" t="str">
        <x:v>Approved</x:v>
      </x:c>
    </x:row>
    <x:row r="12">
      <x:c r="A12" s="18" t="str">
        <x:v>CL-008</x:v>
      </x:c>
      <x:c r="B12" s="18" t="str">
        <x:v>Profile Detail</x:v>
      </x:c>
      <x:c r="C12" s="18" t="str">
        <x:v>Absent in F2 architecture</x:v>
      </x:c>
      <x:c r="D12" s="18" t="str">
        <x:v>Three current noindex prototype routes</x:v>
      </x:c>
      <x:c r="E12" s="18" t="str">
        <x:v>Website</x:v>
      </x:c>
      <x:c r="F12" s="18" t="str">
        <x:v>Record implemented page type</x:v>
      </x:c>
      <x:c r="G12" s="18" t="str">
        <x:v>Grouping, Architecture</x:v>
      </x:c>
      <x:c r="H12" s="22" t="str">
        <x:v>DITEMUKAN DI WEBSITE TETAPI BELUM ADA DI DOKUMEN</x:v>
      </x:c>
      <x:c r="I12" s="18" t="str">
        <x:v>Approved</x:v>
      </x:c>
    </x:row>
    <x:row r="13">
      <x:c r="A13" s="18" t="str">
        <x:v>CL-009</x:v>
      </x:c>
      <x:c r="B13" s="18" t="str">
        <x:v>Service details</x:v>
      </x:c>
      <x:c r="C13" s="18" t="str">
        <x:v>Four final pages</x:v>
      </x:c>
      <x:c r="D13" s="18" t="str">
        <x:v>Backlog; not current</x:v>
      </x:c>
      <x:c r="E13" s="18" t="str">
        <x:v>Website + user</x:v>
      </x:c>
      <x:c r="F13" s="18" t="str">
        <x:v>Preserve plan without claiming implementation</x:v>
      </x:c>
      <x:c r="G13" s="18" t="str">
        <x:v>Architecture, Routing</x:v>
      </x:c>
      <x:c r="H13" s="26" t="str">
        <x:v>TIDAK DITEMUKAN DI WEBSITE</x:v>
      </x:c>
      <x:c r="I13" s="18" t="str">
        <x:v>Backlog</x:v>
      </x:c>
    </x:row>
    <x:row r="14">
      <x:c r="A14" s="18" t="str">
        <x:v>CL-010</x:v>
      </x:c>
      <x:c r="B14" s="18" t="str">
        <x:v>Thank You</x:v>
      </x:c>
      <x:c r="C14" s="18" t="str">
        <x:v>Separate page</x:v>
      </x:c>
      <x:c r="D14" s="18" t="str">
        <x:v>Merged into approved modal target</x:v>
      </x:c>
      <x:c r="E14" s="18" t="str">
        <x:v>User</x:v>
      </x:c>
      <x:c r="F14" s="18" t="str">
        <x:v>No separate route needed</x:v>
      </x:c>
      <x:c r="G14" s="18" t="str">
        <x:v>Architecture, Routing</x:v>
      </x:c>
      <x:c r="H14" s="22" t="str">
        <x:v>DIGABUNGKAN</x:v>
      </x:c>
      <x:c r="I14" s="18" t="str">
        <x:v>Approved target</x:v>
      </x:c>
    </x:row>
    <x:row r="15">
      <x:c r="A15" s="18" t="str">
        <x:v>CL-011</x:v>
      </x:c>
      <x:c r="B15" s="18" t="str">
        <x:v>Team</x:v>
      </x:c>
      <x:c r="C15" s="18" t="str">
        <x:v>Unconfirmed team information</x:v>
      </x:c>
      <x:c r="D15" s="18" t="str">
        <x:v>Three dummy prototype identities</x:v>
      </x:c>
      <x:c r="E15" s="18" t="str">
        <x:v>User</x:v>
      </x:c>
      <x:c r="F15" s="18" t="str">
        <x:v>High-fidelity only</x:v>
      </x:c>
      <x:c r="G15" s="18" t="str">
        <x:v>Inventory, Dummy, Missing</x:v>
      </x:c>
      <x:c r="H15" s="26" t="str">
        <x:v>DATA DUMMY</x:v>
      </x:c>
      <x:c r="I15" s="18" t="str">
        <x:v>Approved classification</x:v>
      </x:c>
    </x:row>
    <x:row r="16">
      <x:c r="A16" s="18" t="str">
        <x:v>CL-012</x:v>
      </x:c>
      <x:c r="B16" s="18" t="str">
        <x:v>Services</x:v>
      </x:c>
      <x:c r="C16" s="18" t="str">
        <x:v>Four categories with planned detail</x:v>
      </x:c>
      <x:c r="D16" s="18" t="str">
        <x:v>Four categories retained; 15-item catalog prototype</x:v>
      </x:c>
      <x:c r="E16" s="18" t="str">
        <x:v>Website + user</x:v>
      </x:c>
      <x:c r="F16" s="18" t="str">
        <x:v>Prevent scope inflation</x:v>
      </x:c>
      <x:c r="G16" s="18" t="str">
        <x:v>Blueprint, Inventory</x:v>
      </x:c>
      <x:c r="H16" s="24" t="str">
        <x:v>PLACEHOLDER INTERNAL</x:v>
      </x:c>
      <x:c r="I16" s="18" t="str">
        <x:v>Approved classification</x:v>
      </x:c>
    </x:row>
    <x:row r="17">
      <x:c r="A17" s="18" t="str">
        <x:v>CL-013</x:v>
      </x:c>
      <x:c r="B17" s="18" t="str">
        <x:v>Articles</x:v>
      </x:c>
      <x:c r="C17" s="18" t="str">
        <x:v>Reviewed articles required</x:v>
      </x:c>
      <x:c r="D17" s="18" t="str">
        <x:v>Six preview-only articles; exclude from launch</x:v>
      </x:c>
      <x:c r="E17" s="18" t="str">
        <x:v>User</x:v>
      </x:c>
      <x:c r="F17" s="18" t="str">
        <x:v>No legal/editorial approval</x:v>
      </x:c>
      <x:c r="G17" s="18" t="str">
        <x:v>Inventory, Missing, Dummy</x:v>
      </x:c>
      <x:c r="H17" s="26" t="str">
        <x:v>TIDAK BOLEH TAYANG</x:v>
      </x:c>
      <x:c r="I17" s="18" t="str">
        <x:v>Approved classification</x:v>
      </x:c>
    </x:row>
    <x:row r="18">
      <x:c r="A18" s="18" t="str">
        <x:v>CL-014</x:v>
      </x:c>
      <x:c r="B18" s="18" t="str">
        <x:v>Projects</x:v>
      </x:c>
      <x:c r="C18" s="18" t="str">
        <x:v>Real proof required</x:v>
      </x:c>
      <x:c r="D18" s="18" t="str">
        <x:v>Three dummy cases/testimonials/logos</x:v>
      </x:c>
      <x:c r="E18" s="18" t="str">
        <x:v>Website</x:v>
      </x:c>
      <x:c r="F18" s="18" t="str">
        <x:v>Prototype only</x:v>
      </x:c>
      <x:c r="G18" s="18" t="str">
        <x:v>Inventory, Dummy</x:v>
      </x:c>
      <x:c r="H18" s="26" t="str">
        <x:v>DATA DUMMY</x:v>
      </x:c>
      <x:c r="I18" s="18" t="str">
        <x:v>Open before launch</x:v>
      </x:c>
    </x:row>
    <x:row r="19">
      <x:c r="A19" s="18" t="str">
        <x:v>CL-015</x:v>
      </x:c>
      <x:c r="B19" s="18" t="str">
        <x:v>Statistics</x:v>
      </x:c>
      <x:c r="C19" s="18" t="str">
        <x:v>280/120/10 and team 9 proposed</x:v>
      </x:c>
      <x:c r="D19" s="18" t="str">
        <x:v>Unverified and launch-restricted</x:v>
      </x:c>
      <x:c r="E19" s="18" t="str">
        <x:v>F1 + website</x:v>
      </x:c>
      <x:c r="F19" s="18" t="str">
        <x:v>No evidence</x:v>
      </x:c>
      <x:c r="G19" s="18" t="str">
        <x:v>Discovery, Inventory, Dummy</x:v>
      </x:c>
      <x:c r="H19" s="26" t="str">
        <x:v>TIDAK BOLEH TAYANG</x:v>
      </x:c>
      <x:c r="I19" s="18" t="str">
        <x:v>Open</x:v>
      </x:c>
    </x:row>
    <x:row r="20">
      <x:c r="A20" s="18" t="str">
        <x:v>CL-016</x:v>
      </x:c>
      <x:c r="B20" s="18" t="str">
        <x:v>Domain</x:v>
      </x:c>
      <x:c r="C20" s="18" t="str">
        <x:v>Example legal domain</x:v>
      </x:c>
      <x:c r="D20" s="18" t="str">
        <x:v>Target galdinopartner.co.id, not purchased</x:v>
      </x:c>
      <x:c r="E20" s="18" t="str">
        <x:v>User</x:v>
      </x:c>
      <x:c r="F20" s="18" t="str">
        <x:v>Preserve target without false current claim</x:v>
      </x:c>
      <x:c r="G20" s="18" t="str">
        <x:v>Inventory, Missing, Dummy</x:v>
      </x:c>
      <x:c r="H20" s="24" t="str">
        <x:v>MENUNGGU VERIFIKASI</x:v>
      </x:c>
      <x:c r="I20" s="18" t="str">
        <x:v>Approved target</x:v>
      </x:c>
    </x:row>
    <x:row r="21">
      <x:c r="A21" s="18" t="str">
        <x:v>CL-017</x:v>
      </x:c>
      <x:c r="B21" s="18" t="str">
        <x:v>Inquiry integration</x:v>
      </x:c>
      <x:c r="C21" s="18" t="str">
        <x:v>Resend + manual Google Sheets/internal</x:v>
      </x:c>
      <x:c r="D21" s="18" t="str">
        <x:v>Resend only</x:v>
      </x:c>
      <x:c r="E21" s="18" t="str">
        <x:v>User</x:v>
      </x:c>
      <x:c r="F21" s="18" t="str">
        <x:v>Match approved initial flow</x:v>
      </x:c>
      <x:c r="G21" s="18" t="str">
        <x:v>Discovery, Routing</x:v>
      </x:c>
      <x:c r="H21" s="22" t="str">
        <x:v>DIPERBARUI</x:v>
      </x:c>
      <x:c r="I21" s="18" t="str">
        <x:v>Approved</x:v>
      </x:c>
    </x:row>
    <x:row r="22">
      <x:c r="A22" s="18" t="str">
        <x:v>CL-018</x:v>
      </x:c>
      <x:c r="B22" s="18" t="str">
        <x:v>Privacy/Terms</x:v>
      </x:c>
      <x:c r="C22" s="18" t="str">
        <x:v>Planned final pages</x:v>
      </x:c>
      <x:c r="D22" s="18" t="str">
        <x:v>Backlog/launch blockers; no invented copy</x:v>
      </x:c>
      <x:c r="E22" s="18" t="str">
        <x:v>Website + user</x:v>
      </x:c>
      <x:c r="F22" s="18" t="str">
        <x:v>Current site has no routes</x:v>
      </x:c>
      <x:c r="G22" s="18" t="str">
        <x:v>Architecture, Missing</x:v>
      </x:c>
      <x:c r="H22" s="26" t="str">
        <x:v>TIDAK DITEMUKAN DI WEBSITE</x:v>
      </x:c>
      <x:c r="I22" s="18" t="str">
        <x:v>Backlog</x:v>
      </x:c>
    </x:row>
    <x:row r="23">
      <x:c r="A23" s="18" t="str">
        <x:v>CL-019</x:v>
      </x:c>
      <x:c r="B23" s="18" t="str">
        <x:v>Brand paper color</x:v>
      </x:c>
      <x:c r="C23" s="18" t="str">
        <x:v>#F7F7F5 in Blueprint</x:v>
      </x:c>
      <x:c r="D23" s="18" t="str">
        <x:v>#F4F3F1</x:v>
      </x:c>
      <x:c r="E23" s="18" t="str">
        <x:v>Website + Brand Guidelines</x:v>
      </x:c>
      <x:c r="F23" s="18" t="str">
        <x:v>Resolve internal conflict</x:v>
      </x:c>
      <x:c r="G23" s="18" t="str">
        <x:v>Blueprint, workbooks</x:v>
      </x:c>
      <x:c r="H23" s="22" t="str">
        <x:v>DIPERBARUI</x:v>
      </x:c>
      <x:c r="I23" s="18" t="str">
        <x:v>Approved derived</x:v>
      </x:c>
    </x:row>
    <x:row r="24">
      <x:c r="A24" s="18" t="str">
        <x:v>CL-020</x:v>
      </x:c>
      <x:c r="B24" s="18" t="str">
        <x:v>Source documents</x:v>
      </x:c>
      <x:c r="C24" s="18" t="str">
        <x:v>Original files</x:v>
      </x:c>
      <x:c r="D24" s="18" t="str">
        <x:v>Retained unchanged; aligned copies created</x:v>
      </x:c>
      <x:c r="E24" s="18" t="str">
        <x:v>User request</x:v>
      </x:c>
      <x:c r="F24" s="18" t="str">
        <x:v>Preserve audit trail</x:v>
      </x:c>
      <x:c r="G24" s="18" t="str">
        <x:v>All deliverables</x:v>
      </x:c>
      <x:c r="H24" s="28" t="str">
        <x:v>DIPERTAHANKAN</x:v>
      </x:c>
      <x:c r="I24" s="18" t="str">
        <x:v>Complete</x:v>
      </x:c>
    </x:row>
  </x:sheetData>
  <x:dataValidations count="1">
    <x:dataValidation type="list" sqref="H5:H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72" hidden="0" customWidth="1"/>
    <x:col min="4" max="4" width="20" hidden="0" customWidth="1"/>
    <x:col min="5" max="5" width="18" hidden="0" customWidth="1"/>
    <x:col min="6" max="6" width="16" hidden="0" customWidth="1"/>
    <x:col min="7" max="7" width="48" hidden="0" customWidth="1"/>
  </x:cols>
  <x:sheetData>
    <x:row r="1" ht="34" customHeight="1">
      <x:c r="A1" s="3" t="str">
        <x:v>Decision Log</x:v>
      </x:c>
      <x:c r="B1" s="3"/>
      <x:c r="C1" s="3"/>
      <x:c r="D1" s="3"/>
      <x:c r="E1" s="3"/>
      <x:c r="F1" s="3"/>
      <x:c r="G1" s="3"/>
    </x:row>
    <x:row r="2" ht="28" customHeight="1">
      <x:c r="A2" s="6" t="str">
        <x:v>Explicit decisions supplied by the user on 5 August 2026.</x:v>
      </x:c>
      <x:c r="B2" s="6"/>
      <x:c r="C2" s="6"/>
      <x:c r="D2" s="6"/>
      <x:c r="E2" s="6"/>
      <x:c r="F2" s="6"/>
      <x:c r="G2" s="6"/>
    </x:row>
    <x:row r="4" ht="34" customHeight="1">
      <x:c r="A4" s="11" t="str">
        <x:v>ID</x:v>
      </x:c>
      <x:c r="B4" s="11" t="str">
        <x:v>Topic</x:v>
      </x:c>
      <x:c r="C4" s="11" t="str">
        <x:v>Decision</x:v>
      </x:c>
      <x:c r="D4" s="11" t="str">
        <x:v>Status</x:v>
      </x:c>
      <x:c r="E4" s="11" t="str">
        <x:v>Approved By</x:v>
      </x:c>
      <x:c r="F4" s="11" t="str">
        <x:v>Date</x:v>
      </x:c>
      <x:c r="G4" s="11" t="str">
        <x:v>Impact</x:v>
      </x:c>
    </x:row>
    <x:row r="5">
      <x:c r="A5" s="17" t="str">
        <x:v>D-01</x:v>
      </x:c>
      <x:c r="B5" s="17" t="str">
        <x:v>Current website vs backlog</x:v>
      </x:c>
      <x:c r="C5" s="17" t="str">
        <x:v>Website actual is CURRENT; unimplemented F2 pages remain backlog.</x:v>
      </x:c>
      <x:c r="D5" s="17" t="str">
        <x:v>Approved</x:v>
      </x:c>
      <x:c r="E5" s="17" t="str">
        <x:v>User</x:v>
      </x:c>
      <x:c r="F5" s="17" t="str">
        <x:v>2026-08-05</x:v>
      </x:c>
      <x:c r="G5" s="17" t="str">
        <x:v>Architecture, grouping, routing</x:v>
      </x:c>
    </x:row>
    <x:row r="6">
      <x:c r="A6" s="18" t="str">
        <x:v>D-02</x:v>
      </x:c>
      <x:c r="B6" s="18" t="str">
        <x:v>Contact ownership</x:v>
      </x:c>
      <x:c r="C6" s="18" t="str">
        <x:v>Current phone/email are project/Kultivate contacts.</x:v>
      </x:c>
      <x:c r="D6" s="18" t="str">
        <x:v>Approved</x:v>
      </x:c>
      <x:c r="E6" s="18" t="str">
        <x:v>User</x:v>
      </x:c>
      <x:c r="F6" s="18" t="str">
        <x:v>2026-08-05</x:v>
      </x:c>
      <x:c r="G6" s="18" t="str">
        <x:v>Inventory, contact governance, dummy register</x:v>
      </x:c>
    </x:row>
    <x:row r="7">
      <x:c r="A7" s="18" t="str">
        <x:v>D-03</x:v>
      </x:c>
      <x:c r="B7" s="18" t="str">
        <x:v>Legal identity</x:v>
      </x:c>
      <x:c r="C7" s="18" t="str">
        <x:v>Galdino &amp; Partner is operated by PT Karya Usaha Sukses; PT established 2015; domiciled in Kota Tangerang, Banten, Indonesia; registration pending.</x:v>
      </x:c>
      <x:c r="D7" s="18" t="str">
        <x:v>Approved</x:v>
      </x:c>
      <x:c r="E7" s="18" t="str">
        <x:v>User</x:v>
      </x:c>
      <x:c r="F7" s="18" t="str">
        <x:v>2026-08-05</x:v>
      </x:c>
      <x:c r="G7" s="18" t="str">
        <x:v>Discovery, Blueprint, Profile/legal data</x:v>
      </x:c>
    </x:row>
    <x:row r="8">
      <x:c r="A8" s="18" t="str">
        <x:v>D-04</x:v>
      </x:c>
      <x:c r="B8" s="18" t="str">
        <x:v>Team</x:v>
      </x:c>
      <x:c r="C8" s="18" t="str">
        <x:v>Kelvin/Maria/Michael are dummy high-fidelity prototype profiles.</x:v>
      </x:c>
      <x:c r="D8" s="18" t="str">
        <x:v>Approved</x:v>
      </x:c>
      <x:c r="E8" s="18" t="str">
        <x:v>User</x:v>
      </x:c>
      <x:c r="F8" s="18" t="str">
        <x:v>2026-08-05</x:v>
      </x:c>
      <x:c r="G8" s="18" t="str">
        <x:v>Profile, noindex, dummy register</x:v>
      </x:c>
    </x:row>
    <x:row r="9">
      <x:c r="A9" s="18" t="str">
        <x:v>D-05</x:v>
      </x:c>
      <x:c r="B9" s="18" t="str">
        <x:v>Service catalog</x:v>
      </x:c>
      <x:c r="C9" s="18" t="str">
        <x:v>Fifteen items are prototype content under four top-level categories.</x:v>
      </x:c>
      <x:c r="D9" s="18" t="str">
        <x:v>Approved</x:v>
      </x:c>
      <x:c r="E9" s="18" t="str">
        <x:v>User</x:v>
      </x:c>
      <x:c r="F9" s="18" t="str">
        <x:v>2026-08-05</x:v>
      </x:c>
      <x:c r="G9" s="18" t="str">
        <x:v>Home, Services, inventory</x:v>
      </x:c>
    </x:row>
    <x:row r="10">
      <x:c r="A10" s="18" t="str">
        <x:v>D-06</x:v>
      </x:c>
      <x:c r="B10" s="18" t="str">
        <x:v>Articles</x:v>
      </x:c>
      <x:c r="C10" s="18" t="str">
        <x:v>Six articles are preview-only and must not be part of launch without review.</x:v>
      </x:c>
      <x:c r="D10" s="18" t="str">
        <x:v>Approved</x:v>
      </x:c>
      <x:c r="E10" s="18" t="str">
        <x:v>User</x:v>
      </x:c>
      <x:c r="F10" s="18" t="str">
        <x:v>2026-08-05</x:v>
      </x:c>
      <x:c r="G10" s="18" t="str">
        <x:v>Blog, article governance</x:v>
      </x:c>
    </x:row>
    <x:row r="11">
      <x:c r="A11" s="18" t="str">
        <x:v>D-07</x:v>
      </x:c>
      <x:c r="B11" s="18" t="str">
        <x:v>Domain</x:v>
      </x:c>
      <x:c r="C11" s="18" t="str">
        <x:v>galdinopartner.co.id is target domain and is not purchased.</x:v>
      </x:c>
      <x:c r="D11" s="18" t="str">
        <x:v>Approved</x:v>
      </x:c>
      <x:c r="E11" s="18" t="str">
        <x:v>User</x:v>
      </x:c>
      <x:c r="F11" s="18" t="str">
        <x:v>2026-08-05</x:v>
      </x:c>
      <x:c r="G11" s="18" t="str">
        <x:v>Metadata, SEO, blockers</x:v>
      </x:c>
    </x:row>
    <x:row r="12">
      <x:c r="A12" s="18" t="str">
        <x:v>D-08</x:v>
      </x:c>
      <x:c r="B12" s="18" t="str">
        <x:v>Thank You UX</x:v>
      </x:c>
      <x:c r="C12" s="18" t="str">
        <x:v>Use a post-submit modal/pop-up; no separate Thank You page.</x:v>
      </x:c>
      <x:c r="D12" s="18" t="str">
        <x:v>Approved target</x:v>
      </x:c>
      <x:c r="E12" s="18" t="str">
        <x:v>User</x:v>
      </x:c>
      <x:c r="F12" s="18" t="str">
        <x:v>2026-08-05</x:v>
      </x:c>
      <x:c r="G12" s="18" t="str">
        <x:v>Contact flow, routing</x:v>
      </x:c>
    </x:row>
    <x:row r="13">
      <x:c r="A13" s="18" t="str">
        <x:v>D-09</x:v>
      </x:c>
      <x:c r="B13" s="18" t="str">
        <x:v>Privacy/Terms</x:v>
      </x:c>
      <x:c r="C13" s="18" t="str">
        <x:v>No approved policies yet; document website current state without inventing copy.</x:v>
      </x:c>
      <x:c r="D13" s="18" t="str">
        <x:v>Approved</x:v>
      </x:c>
      <x:c r="E13" s="18" t="str">
        <x:v>User</x:v>
      </x:c>
      <x:c r="F13" s="18" t="str">
        <x:v>2026-08-05</x:v>
      </x:c>
      <x:c r="G13" s="18" t="str">
        <x:v>Backlog and launch blockers</x:v>
      </x:c>
    </x:row>
    <x:row r="14">
      <x:c r="A14" s="18" t="str">
        <x:v>D-10</x:v>
      </x:c>
      <x:c r="B14" s="18" t="str">
        <x:v>Brand relationship</x:v>
      </x:c>
      <x:c r="C14" s="18" t="str">
        <x:v>Galdino &amp; Partner by Kultivate may be published.</x:v>
      </x:c>
      <x:c r="D14" s="18" t="str">
        <x:v>Approved</x:v>
      </x:c>
      <x:c r="E14" s="18" t="str">
        <x:v>User</x:v>
      </x:c>
      <x:c r="F14" s="18" t="str">
        <x:v>2026-08-05</x:v>
      </x:c>
      <x:c r="G14" s="18" t="str">
        <x:v>Brand descriptor/footer/Profile</x:v>
      </x:c>
    </x:row>
    <x:row r="15">
      <x:c r="A15" s="18" t="str">
        <x:v>D-11</x:v>
      </x:c>
      <x:c r="B15" s="18" t="str">
        <x:v>Inquiry integration</x:v>
      </x:c>
      <x:c r="C15" s="18" t="str">
        <x:v>Use Resend only for initial version; no Google Sheets/CRM.</x:v>
      </x:c>
      <x:c r="D15" s="18" t="str">
        <x:v>Approved</x:v>
      </x:c>
      <x:c r="E15" s="18" t="str">
        <x:v>User</x:v>
      </x:c>
      <x:c r="F15" s="18" t="str">
        <x:v>2026-08-05</x:v>
      </x:c>
      <x:c r="G15" s="18" t="str">
        <x:v>Discovery, contact flow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70" hidden="0" customWidth="1"/>
    <x:col min="4" max="4" width="16" hidden="0" customWidth="1"/>
    <x:col min="5" max="5" width="18" hidden="0" customWidth="1"/>
  </x:cols>
  <x:sheetData>
    <x:row r="1" ht="34" customHeight="1">
      <x:c r="A1" s="3" t="str">
        <x:v>Cross-file Impact</x:v>
      </x:c>
      <x:c r="B1" s="3"/>
      <x:c r="C1" s="3"/>
      <x:c r="D1" s="3"/>
      <x:c r="E1" s="3"/>
    </x:row>
    <x:row r="2" ht="28" customHeight="1">
      <x:c r="A2" s="6" t="str">
        <x:v>Traceability from approved decision to every affected deliverable.</x:v>
      </x:c>
      <x:c r="B2" s="6"/>
      <x:c r="C2" s="6"/>
      <x:c r="D2" s="6"/>
      <x:c r="E2" s="6"/>
    </x:row>
    <x:row r="4" ht="34" customHeight="1">
      <x:c r="A4" s="11" t="str">
        <x:v>Topic</x:v>
      </x:c>
      <x:c r="B4" s="11" t="str">
        <x:v>Affected Files</x:v>
      </x:c>
      <x:c r="C4" s="11" t="str">
        <x:v>Required Change</x:v>
      </x:c>
      <x:c r="D4" s="11" t="str">
        <x:v>Decision ID</x:v>
      </x:c>
      <x:c r="E4" s="11" t="str">
        <x:v>Status</x:v>
      </x:c>
    </x:row>
    <x:row r="5">
      <x:c r="A5" s="17" t="str">
        <x:v>Legal identity</x:v>
      </x:c>
      <x:c r="B5" s="17" t="str">
        <x:v>Discovery; Blueprint; Inventory; Missing; Master</x:v>
      </x:c>
      <x:c r="C5" s="17" t="str">
        <x:v>Update operator/year/city; keep registration pending</x:v>
      </x:c>
      <x:c r="D5" s="17" t="str">
        <x:v>D-03</x:v>
      </x:c>
      <x:c r="E5" s="17" t="str">
        <x:v>Complete</x:v>
      </x:c>
    </x:row>
    <x:row r="6">
      <x:c r="A6" s="18" t="str">
        <x:v>Contact classification</x:v>
      </x:c>
      <x:c r="B6" s="18" t="str">
        <x:v>Inventory; Missing; Dummy; Master</x:v>
      </x:c>
      <x:c r="C6" s="18" t="str">
        <x:v>Mark current values as project/Kultivate placeholder</x:v>
      </x:c>
      <x:c r="D6" s="18" t="str">
        <x:v>D-02</x:v>
      </x:c>
      <x:c r="E6" s="18" t="str">
        <x:v>Complete</x:v>
      </x:c>
    </x:row>
    <x:row r="7">
      <x:c r="A7" s="18" t="str">
        <x:v>Current/backlog architecture</x:v>
      </x:c>
      <x:c r="B7" s="18" t="str">
        <x:v>Grouping; Architecture; Routing; Master</x:v>
      </x:c>
      <x:c r="C7" s="18" t="str">
        <x:v>Separate implemented page types from backlog</x:v>
      </x:c>
      <x:c r="D7" s="18" t="str">
        <x:v>D-01</x:v>
      </x:c>
      <x:c r="E7" s="18" t="str">
        <x:v>Complete</x:v>
      </x:c>
    </x:row>
    <x:row r="8">
      <x:c r="A8" s="18" t="str">
        <x:v>Team governance</x:v>
      </x:c>
      <x:c r="B8" s="18" t="str">
        <x:v>Inventory; Missing; Dummy; Master</x:v>
      </x:c>
      <x:c r="C8" s="18" t="str">
        <x:v>Classify three profiles as dummy/noindex</x:v>
      </x:c>
      <x:c r="D8" s="18" t="str">
        <x:v>D-04</x:v>
      </x:c>
      <x:c r="E8" s="18" t="str">
        <x:v>Complete</x:v>
      </x:c>
    </x:row>
    <x:row r="9">
      <x:c r="A9" s="18" t="str">
        <x:v>Service governance</x:v>
      </x:c>
      <x:c r="B9" s="18" t="str">
        <x:v>Blueprint; Inventory; Architecture; Dummy</x:v>
      </x:c>
      <x:c r="C9" s="18" t="str">
        <x:v>Retain four categories; mark 15 items prototype</x:v>
      </x:c>
      <x:c r="D9" s="18" t="str">
        <x:v>D-05</x:v>
      </x:c>
      <x:c r="E9" s="18" t="str">
        <x:v>Complete</x:v>
      </x:c>
    </x:row>
    <x:row r="10">
      <x:c r="A10" s="18" t="str">
        <x:v>Article governance</x:v>
      </x:c>
      <x:c r="B10" s="18" t="str">
        <x:v>Inventory; Missing; Dummy; Master</x:v>
      </x:c>
      <x:c r="C10" s="18" t="str">
        <x:v>Preview-only; launch exclusion</x:v>
      </x:c>
      <x:c r="D10" s="18" t="str">
        <x:v>D-06</x:v>
      </x:c>
      <x:c r="E10" s="18" t="str">
        <x:v>Complete</x:v>
      </x:c>
    </x:row>
    <x:row r="11">
      <x:c r="A11" s="18" t="str">
        <x:v>Domain</x:v>
      </x:c>
      <x:c r="B11" s="18" t="str">
        <x:v>Inventory; Missing; Dummy; Master</x:v>
      </x:c>
      <x:c r="C11" s="18" t="str">
        <x:v>Target approved, current value remains placeholder</x:v>
      </x:c>
      <x:c r="D11" s="18" t="str">
        <x:v>D-07</x:v>
      </x:c>
      <x:c r="E11" s="18" t="str">
        <x:v>Complete</x:v>
      </x:c>
    </x:row>
    <x:row r="12">
      <x:c r="A12" s="18" t="str">
        <x:v>Thank You</x:v>
      </x:c>
      <x:c r="B12" s="18" t="str">
        <x:v>Blueprint; Architecture; Routing; Master</x:v>
      </x:c>
      <x:c r="C12" s="18" t="str">
        <x:v>Remove separate page; record modal target</x:v>
      </x:c>
      <x:c r="D12" s="18" t="str">
        <x:v>D-08</x:v>
      </x:c>
      <x:c r="E12" s="18" t="str">
        <x:v>Complete</x:v>
      </x:c>
    </x:row>
    <x:row r="13">
      <x:c r="A13" s="18" t="str">
        <x:v>Policies</x:v>
      </x:c>
      <x:c r="B13" s="18" t="str">
        <x:v>Architecture; Missing; Dummy; Master</x:v>
      </x:c>
      <x:c r="C13" s="18" t="str">
        <x:v>Retain backlog and blocker, no invented copy</x:v>
      </x:c>
      <x:c r="D13" s="18" t="str">
        <x:v>D-09</x:v>
      </x:c>
      <x:c r="E13" s="18" t="str">
        <x:v>Complete</x:v>
      </x:c>
    </x:row>
    <x:row r="14">
      <x:c r="A14" s="18" t="str">
        <x:v>Brand descriptor</x:v>
      </x:c>
      <x:c r="B14" s="18" t="str">
        <x:v>Discovery; Blueprint; Inventory; Master</x:v>
      </x:c>
      <x:c r="C14" s="18" t="str">
        <x:v>Use Galdino &amp; Partner by Kultivate</x:v>
      </x:c>
      <x:c r="D14" s="18" t="str">
        <x:v>D-10</x:v>
      </x:c>
      <x:c r="E14" s="18" t="str">
        <x:v>Complete</x:v>
      </x:c>
    </x:row>
    <x:row r="15">
      <x:c r="A15" s="18" t="str">
        <x:v>Inquiry delivery</x:v>
      </x:c>
      <x:c r="B15" s="18" t="str">
        <x:v>Discovery; Routing; Inventory; Master</x:v>
      </x:c>
      <x:c r="C15" s="18" t="str">
        <x:v>Resend only; move Sheets/CRM to backlog</x:v>
      </x:c>
      <x:c r="D15" s="18" t="str">
        <x:v>D-11</x:v>
      </x:c>
      <x:c r="E15" s="18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3" t="str">
        <x:v>Source Notes</x:v>
      </x:c>
      <x:c r="B1" s="3"/>
      <x:c r="C1" s="3"/>
      <x:c r="D1" s="3"/>
    </x:row>
    <x:row r="2" ht="28" customHeight="1">
      <x:c r="A2" s="6" t="str">
        <x:v>Source hierarchy and traceability for the change log and decision log.</x:v>
      </x:c>
      <x:c r="B2" s="6"/>
      <x:c r="C2" s="6"/>
      <x:c r="D2" s="6"/>
    </x:row>
    <x:row r="4" ht="34" customHeight="1">
      <x:c r="A4" s="11" t="str">
        <x:v>Source</x:v>
      </x:c>
      <x:c r="B4" s="11" t="str">
        <x:v>Priority</x:v>
      </x:c>
      <x:c r="C4" s="11" t="str">
        <x:v>Function</x:v>
      </x:c>
      <x:c r="D4" s="11" t="str">
        <x:v>Location</x:v>
      </x:c>
    </x:row>
    <x:row r="5">
      <x:c r="A5" s="35" t="str">
        <x:v>Website/codebase aktual</x:v>
      </x:c>
      <x:c r="B5" s="35" t="str">
        <x:v>Primary</x:v>
      </x:c>
      <x:c r="C5" s="35" t="str">
        <x:v>Implemented route, page structure, navigation, CTA, user flow, feature, and technical behavior.</x:v>
      </x:c>
      <x:c r="D5" s="35" t="str">
        <x:v>C:\Users\Joshua\OneDrive\Documents\Law\outputs\galdino_partner\website</x:v>
      </x:c>
    </x:row>
    <x:row r="6">
      <x:c r="A6" s="36" t="str">
        <x:v>Dokumen Fase 2 terbaru</x:v>
      </x:c>
      <x:c r="B6" s="36" t="str">
        <x:v>Secondary</x:v>
      </x:c>
      <x:c r="C6" s="36" t="str">
        <x:v>Architecture and decisions; unimplemented elements are retained as backlog.</x:v>
      </x:c>
      <x:c r="D6" s="36" t="str">
        <x:v>C:\Users\Joshua\OneDrive\Documents\Law\outputs\galdino_partner\plan\FASE 2</x:v>
      </x:c>
    </x:row>
    <x:row r="7">
      <x:c r="A7" s="36" t="str">
        <x:v>Dokumen Fase 1</x:v>
      </x:c>
      <x:c r="B7" s="36" t="str">
        <x:v>Tertiary</x:v>
      </x:c>
      <x:c r="C7" s="36" t="str">
        <x:v>Discovery, business facts, brand foundation, user needs, and project context.</x:v>
      </x:c>
      <x:c r="D7" s="36" t="str">
        <x:v>C:\Users\Joshua\OneDrive\Documents\Law\outputs\galdino_partner\plan\FASE 1</x:v>
      </x:c>
    </x:row>
    <x:row r="8">
      <x:c r="A8" s="36" t="str">
        <x:v>Brand Guidelines dan audit pendukung</x:v>
      </x:c>
      <x:c r="B8" s="36" t="str">
        <x:v>Supporting</x:v>
      </x:c>
      <x:c r="C8" s="36" t="str">
        <x:v>Reference only; cannot create claims or expand approved scope.</x:v>
      </x:c>
      <x:c r="D8" s="36" t="str">
        <x:v>C:\Users\Joshua\OneDrive\Documents\Law\outputs\galdino_partner\brand</x:v>
      </x:c>
    </x:row>
    <x:row r="9">
      <x:c r="A9" s="36" t="str">
        <x:v>Keputusan pengguna 5 Agustus 2026</x:v>
      </x:c>
      <x:c r="B9" s="36" t="str">
        <x:v>Approval</x:v>
      </x:c>
      <x:c r="C9" s="36" t="str">
        <x:v>Eleven explicit decisions controlling current/backlog, legal identity, prototype content, domain, inquiry, and governance.</x:v>
      </x:c>
      <x:c r="D9" s="36" t="str">
        <x:v>Current Codex task</x:v>
      </x:c>
    </x:row>
  </x:sheetData>
  <x:pageMargins left="0.7" right="0.7" top="0.75" bottom="0.75" header="0.3" footer="0.3"/>
</x:worksheet>
</file>