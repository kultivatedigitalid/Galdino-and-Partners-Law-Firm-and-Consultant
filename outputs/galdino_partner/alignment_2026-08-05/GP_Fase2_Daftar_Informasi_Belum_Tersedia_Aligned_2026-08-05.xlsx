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f7c8ccdba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b1bb064a374cb6"/>
    <x:sheet xmlns:r="http://schemas.openxmlformats.org/officeDocument/2006/relationships" name="Missing Information" sheetId="2" r:id="R0c47c9cd37f34d59"/>
    <x:sheet xmlns:r="http://schemas.openxmlformats.org/officeDocument/2006/relationships" name="Critical Gaps" sheetId="3" r:id="R953aed7925314d78"/>
    <x:sheet xmlns:r="http://schemas.openxmlformats.org/officeDocument/2006/relationships" name="Assumptions" sheetId="4" r:id="Rd4d11e099a484603"/>
    <x:sheet xmlns:r="http://schemas.openxmlformats.org/officeDocument/2006/relationships" name="Conflict Resolution" sheetId="5" r:id="R2ba011c86c8b462b"/>
    <x:sheet xmlns:r="http://schemas.openxmlformats.org/officeDocument/2006/relationships" name="Source Notes" sheetId="6" r:id="R32b8d76b215b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38">
    <x:font>
      <x:sz val="11"/>
      <x:name val="Carlito"/>
    </x:font>
    <x:font>
      <x:b/>
      <x:sz val="16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0B0B0C"/>
      <x:name val="Carlito"/>
    </x:font>
    <x:font>
      <x:b/>
      <x:sz val="11"/>
      <x:color theme="0"/>
      <x:name val="Carlito"/>
    </x:font>
    <x:font>
      <x:b/>
      <x:sz val="14"/>
      <x:color theme="0"/>
      <x:name val="Carlito"/>
    </x:font>
    <x:font>
      <x:sz val="11"/>
      <x:color rgb="FF0B0B0C"/>
      <x:name val="Carlito"/>
    </x:font>
    <x:font>
      <x:b/>
      <x:sz val="14"/>
      <x:color rgb="FFC414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b/>
      <x:sz val="19"/>
      <x:color rgb="FFFFFFFF"/>
      <x:name val="Aptos Display"/>
    </x:font>
    <x:font>
      <x:sz val="9"/>
      <x:color rgb="FF0F0F0F"/>
      <x:name val="Aptos"/>
    </x:font>
    <x:font>
      <x:b/>
      <x:sz val="9"/>
      <x:color rgb="FF0F0F0F"/>
      <x:name val="Aptos"/>
    </x:font>
    <x:font>
      <x:b/>
      <x:sz val="14"/>
      <x:color rgb="FF720D1C"/>
      <x:name val="Aptos Display"/>
    </x:font>
  </x:fonts>
  <x:fills count="43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7F7F5"/>
      </x:patternFill>
    </x:fill>
    <x:fill>
      <x:patternFill patternType="solid">
        <x:fgColor rgb="FF720D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7F5EC"/>
      </x:patternFill>
    </x:fill>
    <x:fill>
      <x:patternFill patternType="solid">
        <x:fgColor rgb="FFE8F1FA"/>
      </x:patternFill>
    </x:fill>
    <x:fill>
      <x:patternFill patternType="solid">
        <x:fgColor rgb="FFFFF4CC"/>
      </x:patternFill>
    </x:fill>
    <x:fill>
      <x:patternFill patternType="solid">
        <x:fgColor rgb="FFF9E9EC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8" fontId="9" fillId="0" borderId="0" applyFont="0" applyFill="0" applyBorder="0" applyAlignment="0" applyProtection="0">
      <x:alignment vertical="center"/>
    </x:xf>
    <x:xf numFmtId="179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93">
    <x:xf numFmtId="0" fontId="0" fillId="0" borderId="0" xfId="0"/>
    <x:xf numFmtId="0" fontId="1" fillId="2" borderId="0" xfId="0" applyNumberFormat="1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Fill="1"/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 vertical="center"/>
    </x:xf>
    <x:xf numFmtId="0" fontId="1" fillId="36" borderId="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29" fillId="36" borderId="0" xfId="0" applyNumberFormat="1" applyFont="1" applyFill="1" applyBorder="1" applyAlignment="1">
      <x:alignment horizontal="center" vertical="center"/>
    </x:xf>
    <x:xf numFmtId="0" fontId="29" fillId="36" borderId="0" xfId="0" applyNumberFormat="1" applyFont="1" applyFill="1" applyBorder="1" applyAlignment="1">
      <x:alignment horizontal="left" vertical="center"/>
    </x:xf>
    <x:xf numFmtId="0" fontId="29" fillId="36" borderId="0" xfId="0" applyNumberFormat="1" applyFont="1" applyFill="1" applyBorder="1"/>
    <x:xf numFmtId="0" fontId="29" fillId="36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2" fillId="37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0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/>
    <x:xf numFmtId="0" fontId="30" fillId="37" borderId="0" xfId="0" applyNumberFormat="1" applyFont="1" applyFill="1" applyBorder="1" applyAlignment="1">
      <x:alignment vertical="center" wrapText="1"/>
    </x:xf>
    <x:xf numFmtId="0" fontId="30" fillId="37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31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/>
    <x:xf numFmtId="0" fontId="31" fillId="38" borderId="9" xfId="0" applyNumberFormat="1" applyFont="1" applyFill="1" applyBorder="1" applyAlignment="1">
      <x:alignment horizontal="center" vertical="center" wrapText="1"/>
    </x:xf>
    <x:xf numFmtId="0" fontId="31" fillId="38" borderId="9" xfId="0" applyNumberFormat="1" applyFont="1" applyFill="1" applyBorder="1"/>
    <x:xf numFmtId="0" fontId="31" fillId="38" borderId="9" xfId="0" applyNumberFormat="1" applyFont="1" applyFill="1" applyBorder="1" applyAlignment="1">
      <x:alignment wrapText="1"/>
    </x:xf>
    <x:xf numFmtId="0" fontId="31" fillId="38" borderId="9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/>
    <x:xf numFmtId="0" fontId="32" fillId="0" borderId="10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/>
    <x:xf numFmtId="0" fontId="32" fillId="0" borderId="11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/>
    <x:xf numFmtId="0" fontId="32" fillId="0" borderId="10" xfId="0" applyNumberFormat="1" applyFont="1" applyFill="1" applyBorder="1" applyAlignment="1">
      <x:alignment wrapText="1"/>
    </x:xf>
    <x:xf numFmtId="0" fontId="32" fillId="0" borderId="11" xfId="0" applyNumberFormat="1" applyFont="1" applyFill="1" applyBorder="1" applyAlignment="1">
      <x:alignment wrapText="1"/>
    </x:xf>
    <x:xf numFmtId="0" fontId="32" fillId="0" borderId="10" xfId="0" applyNumberFormat="1" applyFont="1" applyFill="1" applyBorder="1" applyAlignment="1">
      <x:alignment vertical="center" wrapText="1"/>
    </x:xf>
    <x:xf numFmtId="0" fontId="32" fillId="0" borderId="11" xfId="0" applyNumberFormat="1" applyFont="1" applyFill="1" applyBorder="1" applyAlignment="1">
      <x:alignment vertical="center" wrapText="1"/>
    </x:xf>
    <x:xf numFmtId="0" fontId="32" fillId="39" borderId="10" xfId="0" applyNumberFormat="1" applyFont="1" applyFill="1" applyBorder="1" applyAlignment="1">
      <x:alignment vertical="center" wrapText="1"/>
    </x:xf>
    <x:xf numFmtId="0" fontId="33" fillId="39" borderId="10" xfId="0" applyNumberFormat="1" applyFont="1" applyFill="1" applyBorder="1" applyAlignment="1">
      <x:alignment vertical="center" wrapText="1"/>
    </x:xf>
    <x:xf numFmtId="0" fontId="32" fillId="40" borderId="10" xfId="0" applyNumberFormat="1" applyFont="1" applyFill="1" applyBorder="1" applyAlignment="1">
      <x:alignment vertical="center" wrapText="1"/>
    </x:xf>
    <x:xf numFmtId="0" fontId="33" fillId="40" borderId="10" xfId="0" applyNumberFormat="1" applyFont="1" applyFill="1" applyBorder="1" applyAlignment="1">
      <x:alignment vertical="center" wrapText="1"/>
    </x:xf>
    <x:xf numFmtId="0" fontId="32" fillId="39" borderId="11" xfId="0" applyNumberFormat="1" applyFont="1" applyFill="1" applyBorder="1" applyAlignment="1">
      <x:alignment vertical="center" wrapText="1"/>
    </x:xf>
    <x:xf numFmtId="0" fontId="33" fillId="39" borderId="11" xfId="0" applyNumberFormat="1" applyFont="1" applyFill="1" applyBorder="1" applyAlignment="1">
      <x:alignment vertical="center" wrapText="1"/>
    </x:xf>
    <x:xf numFmtId="0" fontId="32" fillId="41" borderId="11" xfId="0" applyNumberFormat="1" applyFont="1" applyFill="1" applyBorder="1" applyAlignment="1">
      <x:alignment vertical="center" wrapText="1"/>
    </x:xf>
    <x:xf numFmtId="0" fontId="33" fillId="41" borderId="11" xfId="0" applyNumberFormat="1" applyFont="1" applyFill="1" applyBorder="1" applyAlignment="1">
      <x:alignment vertical="center" wrapText="1"/>
    </x:xf>
    <x:xf numFmtId="0" fontId="32" fillId="40" borderId="11" xfId="0" applyNumberFormat="1" applyFont="1" applyFill="1" applyBorder="1" applyAlignment="1">
      <x:alignment vertical="center" wrapText="1"/>
    </x:xf>
    <x:xf numFmtId="0" fontId="33" fillId="40" borderId="11" xfId="0" applyNumberFormat="1" applyFont="1" applyFill="1" applyBorder="1" applyAlignment="1">
      <x:alignment vertical="center" wrapText="1"/>
    </x:xf>
    <x:xf numFmtId="0" fontId="32" fillId="42" borderId="11" xfId="0" applyNumberFormat="1" applyFont="1" applyFill="1" applyBorder="1" applyAlignment="1">
      <x:alignment vertical="center" wrapText="1"/>
    </x:xf>
    <x:xf numFmtId="0" fontId="33" fillId="42" borderId="11" xfId="0" applyNumberFormat="1" applyFont="1" applyFill="1" applyBorder="1" applyAlignment="1">
      <x:alignment vertical="center" wrapText="1"/>
    </x:xf>
    <x:xf numFmtId="0" fontId="34" fillId="36" borderId="0" xfId="0" applyNumberFormat="1" applyFont="1" applyFill="1" applyBorder="1" applyAlignment="1">
      <x:alignment horizontal="center" vertical="center"/>
    </x:xf>
    <x:xf numFmtId="0" fontId="34" fillId="36" borderId="0" xfId="0" applyNumberFormat="1" applyFont="1" applyFill="1" applyBorder="1" applyAlignment="1">
      <x:alignment horizontal="left" vertical="center"/>
    </x:xf>
    <x:xf numFmtId="0" fontId="5" fillId="38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vertical="top" wrapText="1"/>
    </x:xf>
    <x:xf numFmtId="0" fontId="36" fillId="0" borderId="0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vertical="top" wrapText="1"/>
    </x:xf>
    <x:xf numFmtId="0" fontId="36" fillId="0" borderId="10" xfId="0" applyNumberFormat="1" applyFont="1" applyFill="1" applyBorder="1" applyAlignment="1">
      <x:alignment horizontal="center" vertical="top" wrapText="1"/>
    </x:xf>
    <x:xf numFmtId="0" fontId="35" fillId="0" borderId="11" xfId="0" applyNumberFormat="1" applyFont="1" applyFill="1" applyBorder="1" applyAlignment="1">
      <x:alignment vertical="top" wrapText="1"/>
    </x:xf>
    <x:xf numFmtId="0" fontId="36" fillId="0" borderId="11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vertical="center" wrapText="1"/>
    </x:xf>
    <x:xf numFmtId="0" fontId="36" fillId="0" borderId="10" xfId="0" applyNumberFormat="1" applyFont="1" applyFill="1" applyBorder="1" applyAlignment="1">
      <x:alignment horizontal="center" vertical="center" wrapText="1"/>
    </x:xf>
    <x:xf numFmtId="0" fontId="35" fillId="0" borderId="11" xfId="0" applyNumberFormat="1" applyFont="1" applyFill="1" applyBorder="1" applyAlignment="1">
      <x:alignment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36" fillId="39" borderId="10" xfId="0" applyNumberFormat="1" applyFont="1" applyFill="1" applyBorder="1" applyAlignment="1">
      <x:alignment horizontal="center" vertical="center" wrapText="1"/>
    </x:xf>
    <x:xf numFmtId="0" fontId="36" fillId="39" borderId="11" xfId="0" applyNumberFormat="1" applyFont="1" applyFill="1" applyBorder="1" applyAlignment="1">
      <x:alignment horizontal="center" vertical="center" wrapText="1"/>
    </x:xf>
    <x:xf numFmtId="0" fontId="37" fillId="39" borderId="10" xfId="0" applyNumberFormat="1" applyFont="1" applyFill="1" applyBorder="1" applyAlignment="1">
      <x:alignment horizontal="center" vertical="center" wrapText="1"/>
    </x:xf>
    <x:xf numFmtId="0" fontId="37" fillId="39" borderId="11" xfId="0" applyNumberFormat="1" applyFont="1" applyFill="1" applyBorder="1" applyAlignment="1">
      <x:alignment horizontal="center" vertical="center" wrapText="1"/>
    </x:xf>
    <x:xf numFmtId="0" fontId="7" fillId="41" borderId="0" xfId="0" applyNumberFormat="1" applyFont="1" applyFill="1" applyBorder="1"/>
    <x:xf numFmtId="0" fontId="8" fillId="41" borderId="0" xfId="0" applyNumberFormat="1" applyFont="1" applyFill="1" applyBorder="1"/>
    <x:xf numFmtId="0" fontId="0" fillId="41" borderId="0" xfId="0" applyNumberFormat="1" applyFont="1" applyFill="1" applyBorder="1"/>
    <x:xf numFmtId="0" fontId="35" fillId="41" borderId="0" xfId="0" applyNumberFormat="1" applyFont="1" applyFill="1" applyBorder="1"/>
    <x:xf numFmtId="0" fontId="36" fillId="41" borderId="0" xfId="0" applyNumberFormat="1" applyFont="1" applyFill="1" applyBorder="1"/>
    <x:xf numFmtId="0" fontId="35" fillId="41" borderId="0" xfId="0" applyNumberFormat="1" applyFont="1" applyFill="1" applyBorder="1" applyAlignment="1">
      <x:alignment wrapText="1"/>
    </x:xf>
    <x:xf numFmtId="0" fontId="36" fillId="41" borderId="0" xfId="0" applyNumberFormat="1" applyFont="1" applyFill="1" applyBorder="1" applyAlignment="1">
      <x:alignment wrapText="1"/>
    </x:xf>
    <x:xf numFmtId="0" fontId="35" fillId="41" borderId="0" xfId="0" applyNumberFormat="1" applyFont="1" applyFill="1" applyBorder="1" applyAlignment="1">
      <x:alignment vertical="center" wrapText="1"/>
    </x:xf>
    <x:xf numFmtId="0" fontId="36" fillId="41" borderId="0" xfId="0" applyNumberFormat="1" applyFont="1" applyFill="1" applyBorder="1" applyAlignment="1">
      <x:alignment vertical="center" wrapText="1"/>
    </x:xf>
    <x:xf numFmtId="0" fontId="35" fillId="38" borderId="0" xfId="0" applyNumberFormat="1" applyFont="1" applyFill="1" applyBorder="1" applyAlignment="1">
      <x:alignment vertical="center" wrapText="1"/>
    </x:xf>
    <x:xf numFmtId="0" fontId="31" fillId="38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0" fontId="35" fillId="0" borderId="10" xfId="0" applyNumberFormat="1" applyFont="1" applyFill="1" applyBorder="1"/>
    <x:xf numFmtId="0" fontId="35" fillId="0" borderId="11" xfId="0" applyNumberFormat="1" applyFont="1" applyFill="1" applyBorder="1"/>
    <x:xf numFmtId="0" fontId="35" fillId="0" borderId="10" xfId="0" applyNumberFormat="1" applyFont="1" applyFill="1" applyBorder="1" applyAlignment="1">
      <x:alignment wrapText="1"/>
    </x:xf>
    <x:xf numFmtId="0" fontId="35" fillId="0" borderId="11" xfId="0" applyNumberFormat="1" applyFont="1" applyFill="1" applyBorder="1" applyAlignment="1">
      <x:alignment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8"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a08eaf7e94f9b" /><Relationship Type="http://schemas.openxmlformats.org/officeDocument/2006/relationships/theme" Target="/xl/theme/theme1.xml" Id="Rbeb30dd793aa4a3b" /><Relationship Type="http://schemas.openxmlformats.org/officeDocument/2006/relationships/sharedStrings" Target="/xl/sharedStrings.xml" Id="R90d2908794b044b7" /><Relationship Type="http://schemas.openxmlformats.org/officeDocument/2006/relationships/worksheet" Target="/xl/worksheets/sheet1.xml" Id="R75b1bb064a374cb6" /><Relationship Type="http://schemas.openxmlformats.org/officeDocument/2006/relationships/worksheet" Target="/xl/worksheets/sheet2.xml" Id="R0c47c9cd37f34d59" /><Relationship Type="http://schemas.openxmlformats.org/officeDocument/2006/relationships/worksheet" Target="/xl/worksheets/sheet3.xml" Id="R953aed7925314d78" /><Relationship Type="http://schemas.openxmlformats.org/officeDocument/2006/relationships/worksheet" Target="/xl/worksheets/sheet4.xml" Id="Rd4d11e099a484603" /><Relationship Type="http://schemas.openxmlformats.org/officeDocument/2006/relationships/worksheet" Target="/xl/worksheets/sheet5.xml" Id="R2ba011c86c8b462b" /><Relationship Type="http://schemas.openxmlformats.org/officeDocument/2006/relationships/worksheet" Target="/xl/worksheets/sheet6.xml" Id="R32b8d76b215b4f9a" /></Relationships>
</file>

<file path=xl/tables/table1.xml><?xml version="1.0" encoding="utf-8"?>
<x:table xmlns:x="http://schemas.openxmlformats.org/spreadsheetml/2006/main" id="1" name="DashboardTable" displayName="DashboardTable" ref="A4:C9">
  <x:tableColumns count="3">
    <x:tableColumn id="1" name="Metric"/>
    <x:tableColumn id="2" name="Value" dataDxfId="0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InfoTable" displayName="MissingInfoTable" ref="A4:D34">
  <x:tableColumns count="4">
    <x:tableColumn id="1" name="ID"/>
    <x:tableColumn id="2" name="Informasi"/>
    <x:tableColumn id="3" name="Status"/>
    <x:tableColumn id="4" name="Halam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icalGapsTable" displayName="CriticalGapsTable" ref="A4:D26">
  <x:tableColumns count="4">
    <x:tableColumn id="1" name="ID"/>
    <x:tableColumn id="2" name="Informasi"/>
    <x:tableColumn id="3" name="Status"/>
    <x:tableColumn id="4" name="Dampak/Halam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umptionRegisterTable" displayName="AssumptionRegisterTable" ref="A4:E11">
  <x:tableColumns count="5">
    <x:tableColumn id="1" name="ID"/>
    <x:tableColumn id="2" name="Asumsi"/>
    <x:tableColumn id="3" name="Alasan"/>
    <x:tableColumn id="4" name="Sumber"/>
    <x:tableColumn id="5" name="Dampak jika Ditol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lictResolutionTable" displayName="ConflictResolutionTable" ref="A4:D12">
  <x:tableColumns count="4">
    <x:tableColumn id="1" name="Topik"/>
    <x:tableColumn id="2" name="Konflik"/>
    <x:tableColumn id="3" name="Keputusan"/>
    <x:tableColumn id="4" name="Prioritas Sumb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4:B9">
  <x:tableColumns count="2">
    <x:tableColumn id="1" name="Sumber"/>
    <x:tableColumn id="2" name="Fung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fdd6a09d44c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8c96260dce45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0e71304dea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04b4099c1347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f87902547c4f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a310a5a555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59" t="str">
        <x:v>Missing Information Dashboard - Aligned</x:v>
      </x:c>
      <x:c r="B1" s="59"/>
      <x:c r="C1" s="59"/>
      <x:c r="D1" s="60"/>
      <x:c r="E1" s="60"/>
      <x:c r="F1" s="60"/>
      <x:c r="G1" s="60"/>
      <x:c r="H1" s="60"/>
    </x:row>
    <x:row r="2" ht="26" customHeight="1">
      <x:c r="A2" s="24" t="str">
        <x:v>Confirmed facts, remaining gaps, prototype tolerance, and launch blockers.</x:v>
      </x:c>
      <x:c r="B2" s="24"/>
      <x:c r="C2" s="24"/>
      <x:c r="D2" s="25"/>
      <x:c r="E2" s="25"/>
      <x:c r="F2" s="25"/>
      <x:c r="G2" s="25"/>
      <x:c r="H2" s="25"/>
    </x:row>
    <x:row r="3">
      <x:c r="A3" s="3"/>
      <x:c r="B3" s="3"/>
      <x:c r="C3" s="3"/>
      <x:c r="D3" s="7"/>
      <x:c r="E3" s="7"/>
      <x:c r="F3" s="7"/>
      <x:c r="G3" s="7"/>
      <x:c r="H3" s="7"/>
    </x:row>
    <x:row r="4" ht="28" customHeight="1">
      <x:c r="A4" s="33" t="str">
        <x:v>Metric</x:v>
      </x:c>
      <x:c r="B4" s="33" t="str">
        <x:v>Value</x:v>
      </x:c>
      <x:c r="C4" s="33" t="str">
        <x:v>Note</x:v>
      </x:c>
    </x:row>
    <x:row r="5" ht="18">
      <x:c r="A5" s="69" t="str">
        <x:v>Total gap/decision items</x:v>
      </x:c>
      <x:c r="B5" s="75" t="n">
        <x:f>COUNTA('Missing Information'!$A$5:$A$200)</x:f>
        <x:v>39</x:v>
      </x:c>
      <x:c r="C5" s="69" t="str">
        <x:v>Original items retained plus website-specific additions.</x:v>
      </x:c>
    </x:row>
    <x:row r="6" ht="18">
      <x:c r="A6" s="71" t="str">
        <x:v>Unavailable</x:v>
      </x:c>
      <x:c r="B6" s="76" t="n">
        <x:f>COUNTIF('Missing Information'!$C$5:$C$200,"BELUM TERSEDIA")</x:f>
        <x:v>24</x:v>
      </x:c>
      <x:c r="C6" s="71" t="str">
        <x:v>Requires content, legal, or operational input.</x:v>
      </x:c>
    </x:row>
    <x:row r="7" ht="18">
      <x:c r="A7" s="71" t="str">
        <x:v>Waiting verification</x:v>
      </x:c>
      <x:c r="B7" s="76" t="n">
        <x:f>COUNTIF('Missing Information'!$C$5:$C$200,"MENUNGGU VERIFIKASI")</x:f>
        <x:v>2</x:v>
      </x:c>
      <x:c r="C7" s="71" t="str">
        <x:v>Includes registration/domain.</x:v>
      </x:c>
    </x:row>
    <x:row r="8" ht="18">
      <x:c r="A8" s="71" t="str">
        <x:v>Launch restricted</x:v>
      </x:c>
      <x:c r="B8" s="76" t="n">
        <x:f>COUNTIF('Missing Information'!$G$5:$G$200,"TIDAK BOLEH TAYANG")+COUNTIF('Missing Information'!$G$5:$G$200,"DATA DUMMY")</x:f>
        <x:v>5</x:v>
      </x:c>
      <x:c r="C8" s="71" t="str">
        <x:v>Must be replaced, reviewed, or removed.</x:v>
      </x:c>
    </x:row>
    <x:row r="9" ht="36">
      <x:c r="A9" s="71" t="str">
        <x:v>Approved decisions</x:v>
      </x:c>
      <x:c r="B9" s="76" t="n">
        <x:f>COUNTA('Assumptions'!$A$5:$A$50)</x:f>
        <x:v>11</x:v>
      </x:c>
      <x:c r="C9" s="71" t="str">
        <x:v>Eleven decisions dated 5 August 2026.</x:v>
      </x:c>
    </x:row>
    <x:row r="10" ht="30" customHeight="1">
      <x:c r="A10" s="12"/>
      <x:c r="B10" s="13"/>
      <x:c r="C10" s="12"/>
    </x:row>
    <x:row r="11" ht="30" customHeight="1">
      <x:c r="A11" s="87" t="str">
        <x:v>Alignment control</x:v>
      </x:c>
      <x:c r="B11" s="85" t="str">
        <x:v>Prototype tolerance does not waive launch gates. No privacy/terms copy or legal registration number is invented.</x:v>
      </x:c>
      <x:c r="C11" s="84"/>
      <x:c r="D11" s="84"/>
      <x:c r="E11" s="84"/>
      <x:c r="F11" s="84"/>
      <x:c r="G11" s="84"/>
      <x:c r="H11" s="84"/>
    </x:row>
    <x:row r="12" ht="30" customHeight="1">
      <x:c r="A12" s="84"/>
      <x:c r="B12" s="85"/>
      <x:c r="C12" s="84"/>
      <x:c r="D12" s="84"/>
      <x:c r="E12" s="84"/>
      <x:c r="F12" s="84"/>
      <x:c r="G12" s="84"/>
      <x:c r="H12" s="84"/>
    </x:row>
    <x:row r="13">
      <x:c r="A13" s="84"/>
      <x:c r="B13" s="84"/>
      <x:c r="C13" s="84"/>
      <x:c r="D13" s="84"/>
      <x:c r="E13" s="84"/>
      <x:c r="F13" s="84"/>
      <x:c r="G13" s="84"/>
      <x:c r="H13" s="84"/>
    </x:row>
  </x:sheetData>
  <x:mergeCells>
    <x:mergeCell ref="A1:C1"/>
    <x:mergeCell ref="A2:C3"/>
    <x:mergeCell ref="B11:H13"/>
  </x:mergeCells>
  <x:pageMargins left="0.7" right="0.7" top="0.75" bottom="0.75" header="0.3" footer="0.3"/>
  <x:tableParts count="1">
    <x:tablePart xmlns:r="http://schemas.openxmlformats.org/officeDocument/2006/relationships" r:id="Rf04fdd6a09d44c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52" hidden="0" customWidth="1"/>
    <x:col min="3" max="3" width="26" hidden="0" customWidth="1"/>
    <x:col min="4" max="4" width="30" hidden="0" customWidth="1"/>
    <x:col min="5" max="5" width="24" hidden="0" customWidth="1"/>
    <x:col min="6" max="6" width="34" hidden="0" customWidth="1"/>
    <x:col min="7" max="7" width="40" hidden="0" customWidth="1"/>
  </x:cols>
  <x:sheetData>
    <x:row r="1" ht="34" customHeight="1">
      <x:c r="A1" s="17" t="str">
        <x:v>Daftar Informasi yang Belum Tersedia - Aligned</x:v>
      </x:c>
      <x:c r="B1" s="17"/>
      <x:c r="C1" s="17"/>
      <x:c r="D1" s="17"/>
      <x:c r="E1" s="18"/>
      <x:c r="F1" s="18"/>
      <x:c r="G1" s="20"/>
    </x:row>
    <x:row r="2" ht="28" customHeight="1">
      <x:c r="A2" s="24" t="str">
        <x:v>Original gap IDs are retained; user-confirmed items are updated and new website gaps use I-085 onward.</x:v>
      </x:c>
      <x:c r="B2" s="24"/>
      <x:c r="C2" s="24"/>
      <x:c r="D2" s="24"/>
      <x:c r="E2" s="27"/>
      <x:c r="F2" s="27"/>
      <x:c r="G2" s="28"/>
    </x:row>
    <x:row r="3">
      <x:c r="A3" s="3"/>
      <x:c r="B3" s="3"/>
      <x:c r="C3" s="3"/>
      <x:c r="D3" s="3"/>
      <x:c r="E3" s="7"/>
      <x:c r="F3" s="7"/>
      <x:c r="G3" s="7"/>
    </x:row>
    <x:row r="4" ht="34" customHeight="1">
      <x:c r="A4" s="33" t="str">
        <x:v>ID</x:v>
      </x:c>
      <x:c r="B4" s="33" t="str">
        <x:v>Informasi</x:v>
      </x:c>
      <x:c r="C4" s="33" t="str">
        <x:v>Status</x:v>
      </x:c>
      <x:c r="D4" s="33" t="str">
        <x:v>Halaman</x:v>
      </x:c>
      <x:c r="E4" s="36" t="str">
        <x:v>Owner</x:v>
      </x:c>
      <x:c r="F4" s="36" t="str">
        <x:v>Release Gate</x:v>
      </x:c>
      <x:c r="G4" s="36" t="str">
        <x:v>Keputusan</x:v>
      </x:c>
    </x:row>
    <x:row r="5">
      <x:c r="A5" s="45" t="str">
        <x:v>I-002</x:v>
      </x:c>
      <x:c r="B5" s="45" t="str">
        <x:v>Operator legal PT Karya Usaha Sukses; berdiri 2015; Kota Tangerang</x:v>
      </x:c>
      <x:c r="C5" s="48" t="str">
        <x:v>TERSEDIA SEBAGIAN</x:v>
      </x:c>
      <x:c r="D5" s="45" t="str">
        <x:v>Profile/legal</x:v>
      </x:c>
      <x:c r="E5" s="45" t="str">
        <x:v>Project owner</x:v>
      </x:c>
      <x:c r="F5" s="45" t="str">
        <x:v>Registration still required</x:v>
      </x:c>
      <x:c r="G5" s="50" t="str">
        <x:v>DIPERBARUI</x:v>
      </x:c>
    </x:row>
    <x:row r="6">
      <x:c r="A6" s="46" t="str">
        <x:v>I-017</x:v>
      </x:c>
      <x:c r="B6" s="46" t="str">
        <x:v>Alamat jalan lengkap</x:v>
      </x:c>
      <x:c r="C6" s="52" t="str">
        <x:v>BELUM TERSEDIA</x:v>
      </x:c>
      <x:c r="D6" s="46" t="str">
        <x:v>Contact/footer</x:v>
      </x:c>
      <x:c r="E6" s="46" t="str">
        <x:v>Company</x:v>
      </x:c>
      <x:c r="F6" s="46" t="str">
        <x:v>Before launch</x:v>
      </x:c>
      <x:c r="G6" s="54" t="str">
        <x:v>MENUNGGU VERIFIKASI</x:v>
      </x:c>
    </x:row>
    <x:row r="7">
      <x:c r="A7" s="46" t="str">
        <x:v>I-018</x:v>
      </x:c>
      <x:c r="B7" s="46" t="str">
        <x:v>Kontak publik final Galdino &amp; Partner</x:v>
      </x:c>
      <x:c r="C7" s="52" t="str">
        <x:v>BELUM TERSEDIA</x:v>
      </x:c>
      <x:c r="D7" s="46" t="str">
        <x:v>Contact/header/footer</x:v>
      </x:c>
      <x:c r="E7" s="46" t="str">
        <x:v>Company</x:v>
      </x:c>
      <x:c r="F7" s="46" t="str">
        <x:v>Before launch</x:v>
      </x:c>
      <x:c r="G7" s="54" t="str">
        <x:v>PLACEHOLDER INTERNAL</x:v>
      </x:c>
    </x:row>
    <x:row r="8">
      <x:c r="A8" s="46" t="str">
        <x:v>I-019</x:v>
      </x:c>
      <x:c r="B8" s="46" t="str">
        <x:v>Galdino &amp; Partner by Kultivate</x:v>
      </x:c>
      <x:c r="C8" s="52" t="str">
        <x:v>TERSEDIA</x:v>
      </x:c>
      <x:c r="D8" s="46" t="str">
        <x:v>Profile/footer</x:v>
      </x:c>
      <x:c r="E8" s="46" t="str">
        <x:v>Project owner</x:v>
      </x:c>
      <x:c r="F8" s="46" t="str">
        <x:v>Approved</x:v>
      </x:c>
      <x:c r="G8" s="56" t="str">
        <x:v>DIPERBARUI</x:v>
      </x:c>
    </x:row>
    <x:row r="9">
      <x:c r="A9" s="46" t="str">
        <x:v>I-021</x:v>
      </x:c>
      <x:c r="B9" s="46" t="str">
        <x:v>Domain galdinopartner.co.id</x:v>
      </x:c>
      <x:c r="C9" s="54" t="str">
        <x:v>MENUNGGU VERIFIKASI</x:v>
      </x:c>
      <x:c r="D9" s="46" t="str">
        <x:v>Technical</x:v>
      </x:c>
      <x:c r="E9" s="46" t="str">
        <x:v>Project owner</x:v>
      </x:c>
      <x:c r="F9" s="46" t="str">
        <x:v>Purchase before launch</x:v>
      </x:c>
      <x:c r="G9" s="54" t="str">
        <x:v>MENUNGGU VERIFIKASI</x:v>
      </x:c>
    </x:row>
    <x:row r="10">
      <x:c r="A10" s="46" t="str">
        <x:v>I-025</x:v>
      </x:c>
      <x:c r="B10" s="46" t="str">
        <x:v>Jam operasional dan SLA respons publik</x:v>
      </x:c>
      <x:c r="C10" s="46" t="str">
        <x:v>PERLU KONFIRMASI</x:v>
      </x:c>
      <x:c r="D10" s="46" t="str">
        <x:v>Kontak, FAQ</x:v>
      </x:c>
      <x:c r="E10" s="46"/>
      <x:c r="F10" s="46"/>
      <x:c r="G10" s="46"/>
    </x:row>
    <x:row r="11">
      <x:c r="A11" s="46" t="str">
        <x:v>I-044</x:v>
      </x:c>
      <x:c r="B11" s="46" t="str">
        <x:v>Deliverable per layanan</x:v>
      </x:c>
      <x:c r="C11" s="52" t="str">
        <x:v>BELUM TERSEDIA</x:v>
      </x:c>
      <x:c r="D11" s="46" t="str">
        <x:v>Detail layanan</x:v>
      </x:c>
      <x:c r="E11" s="46"/>
      <x:c r="F11" s="46"/>
      <x:c r="G11" s="46"/>
    </x:row>
    <x:row r="12">
      <x:c r="A12" s="46" t="str">
        <x:v>I-045</x:v>
      </x:c>
      <x:c r="B12" s="46" t="str">
        <x:v>Pengecualian per layanan</x:v>
      </x:c>
      <x:c r="C12" s="52" t="str">
        <x:v>BELUM TERSEDIA</x:v>
      </x:c>
      <x:c r="D12" s="46" t="str">
        <x:v>Detail layanan, Terms</x:v>
      </x:c>
      <x:c r="E12" s="46"/>
      <x:c r="F12" s="46"/>
      <x:c r="G12" s="46"/>
    </x:row>
    <x:row r="13">
      <x:c r="A13" s="46" t="str">
        <x:v>I-047</x:v>
      </x:c>
      <x:c r="B13" s="46" t="str">
        <x:v>Estimasi waktu dan faktor ketergantungan</x:v>
      </x:c>
      <x:c r="C13" s="46" t="str">
        <x:v>PERLU KONFIRMASI</x:v>
      </x:c>
      <x:c r="D13" s="46" t="str">
        <x:v>Detail layanan, FAQ</x:v>
      </x:c>
      <x:c r="E13" s="46"/>
      <x:c r="F13" s="46"/>
      <x:c r="G13" s="46"/>
    </x:row>
    <x:row r="14">
      <x:c r="A14" s="46" t="str">
        <x:v>I-051</x:v>
      </x:c>
      <x:c r="B14" s="46" t="str">
        <x:v>SOP komunikasi progres dan contoh status</x:v>
      </x:c>
      <x:c r="C14" s="52" t="str">
        <x:v>BELUM TERSEDIA</x:v>
      </x:c>
      <x:c r="D14" s="46" t="str">
        <x:v>Profil, service details</x:v>
      </x:c>
      <x:c r="E14" s="46"/>
      <x:c r="F14" s="46"/>
      <x:c r="G14" s="46"/>
    </x:row>
    <x:row r="15">
      <x:c r="A15" s="46" t="str">
        <x:v>I-053</x:v>
      </x:c>
      <x:c r="B15" s="46" t="str">
        <x:v>Checklist dokumen awal per layanan</x:v>
      </x:c>
      <x:c r="C15" s="52" t="str">
        <x:v>BELUM TERSEDIA</x:v>
      </x:c>
      <x:c r="D15" s="46" t="str">
        <x:v>Detail layanan, FAQ</x:v>
      </x:c>
      <x:c r="E15" s="46"/>
      <x:c r="F15" s="46"/>
      <x:c r="G15" s="46"/>
    </x:row>
    <x:row r="16">
      <x:c r="A16" s="46" t="str">
        <x:v>I-055</x:v>
      </x:c>
      <x:c r="B16" s="46" t="str">
        <x:v>Tahun berdiri operator 2015</x:v>
      </x:c>
      <x:c r="C16" s="52" t="str">
        <x:v>TERSEDIA</x:v>
      </x:c>
      <x:c r="D16" s="46" t="str">
        <x:v>Profile</x:v>
      </x:c>
      <x:c r="E16" s="46" t="str">
        <x:v>Project owner</x:v>
      </x:c>
      <x:c r="F16" s="46" t="str">
        <x:v>Approved</x:v>
      </x:c>
      <x:c r="G16" s="56" t="str">
        <x:v>DIPERBARUI</x:v>
      </x:c>
    </x:row>
    <x:row r="17">
      <x:c r="A17" s="46" t="str">
        <x:v>I-056</x:v>
      </x:c>
      <x:c r="B17" s="46" t="str">
        <x:v>Statistics 280/120/10</x:v>
      </x:c>
      <x:c r="C17" s="58" t="str">
        <x:v>TIDAK BOLEH TAYANG</x:v>
      </x:c>
      <x:c r="D17" s="46" t="str">
        <x:v>Home/Projects</x:v>
      </x:c>
      <x:c r="E17" s="46" t="str">
        <x:v>Company</x:v>
      </x:c>
      <x:c r="F17" s="46" t="str">
        <x:v>Evidence or remove</x:v>
      </x:c>
      <x:c r="G17" s="58" t="str">
        <x:v>TIDAK BOLEH TAYANG</x:v>
      </x:c>
    </x:row>
    <x:row r="18">
      <x:c r="A18" s="46" t="str">
        <x:v>I-057</x:v>
      </x:c>
      <x:c r="B18" s="46" t="str">
        <x:v>Team size 9 / named team</x:v>
      </x:c>
      <x:c r="C18" s="58" t="str">
        <x:v>TIDAK BOLEH TAYANG</x:v>
      </x:c>
      <x:c r="D18" s="46" t="str">
        <x:v>Profile</x:v>
      </x:c>
      <x:c r="E18" s="46" t="str">
        <x:v>Company</x:v>
      </x:c>
      <x:c r="F18" s="46" t="str">
        <x:v>Replace dummy before launch</x:v>
      </x:c>
      <x:c r="G18" s="58" t="str">
        <x:v>DATA DUMMY</x:v>
      </x:c>
    </x:row>
    <x:row r="19">
      <x:c r="A19" s="46" t="str">
        <x:v>I-059</x:v>
      </x:c>
      <x:c r="B19" s="46" t="str">
        <x:v>Real team credentials and photography</x:v>
      </x:c>
      <x:c r="C19" s="52" t="str">
        <x:v>BELUM TERSEDIA</x:v>
      </x:c>
      <x:c r="D19" s="46" t="str">
        <x:v>Profile</x:v>
      </x:c>
      <x:c r="E19" s="46" t="str">
        <x:v>Company</x:v>
      </x:c>
      <x:c r="F19" s="46" t="str">
        <x:v>Before launch</x:v>
      </x:c>
      <x:c r="G19" s="54" t="str">
        <x:v>PLACEHOLDER INTERNAL</x:v>
      </x:c>
    </x:row>
    <x:row r="20">
      <x:c r="A20" s="46" t="str">
        <x:v>I-060</x:v>
      </x:c>
      <x:c r="B20" s="46" t="str">
        <x:v>Registrasi dan dokumen legal perusahaan</x:v>
      </x:c>
      <x:c r="C20" s="52" t="str">
        <x:v>BELUM TERSEDIA</x:v>
      </x:c>
      <x:c r="D20" s="46" t="str">
        <x:v>Profil, Terms</x:v>
      </x:c>
      <x:c r="E20" s="46"/>
      <x:c r="F20" s="46"/>
      <x:c r="G20" s="46"/>
    </x:row>
    <x:row r="21">
      <x:c r="A21" s="46" t="str">
        <x:v>I-061</x:v>
      </x:c>
      <x:c r="B21" s="46" t="str">
        <x:v>Daftar proyek/case study yang boleh dipublikasikan</x:v>
      </x:c>
      <x:c r="C21" s="52" t="str">
        <x:v>BELUM TERSEDIA</x:v>
      </x:c>
      <x:c r="D21" s="46" t="str">
        <x:v>Pengalaman</x:v>
      </x:c>
      <x:c r="E21" s="46"/>
      <x:c r="F21" s="46"/>
      <x:c r="G21" s="46"/>
    </x:row>
    <x:row r="22">
      <x:c r="A22" s="46" t="str">
        <x:v>I-062</x:v>
      </x:c>
      <x:c r="B22" s="46" t="str">
        <x:v>Sektor yang pernah dilayani</x:v>
      </x:c>
      <x:c r="C22" s="46" t="str">
        <x:v>PERLU KONFIRMASI</x:v>
      </x:c>
      <x:c r="D22" s="46" t="str">
        <x:v>Pengalaman, service details</x:v>
      </x:c>
      <x:c r="E22" s="46"/>
      <x:c r="F22" s="46"/>
      <x:c r="G22" s="46"/>
    </x:row>
    <x:row r="23">
      <x:c r="A23" s="46" t="str">
        <x:v>I-063</x:v>
      </x:c>
      <x:c r="B23" s="46" t="str">
        <x:v>Testimoni</x:v>
      </x:c>
      <x:c r="C23" s="52" t="str">
        <x:v>BELUM TERSEDIA</x:v>
      </x:c>
      <x:c r="D23" s="46" t="str">
        <x:v>Pengalaman</x:v>
      </x:c>
      <x:c r="E23" s="46"/>
      <x:c r="F23" s="46"/>
      <x:c r="G23" s="46"/>
    </x:row>
    <x:row r="24">
      <x:c r="A24" s="46" t="str">
        <x:v>I-064</x:v>
      </x:c>
      <x:c r="B24" s="46" t="str">
        <x:v>Logo/nama klien</x:v>
      </x:c>
      <x:c r="C24" s="52" t="str">
        <x:v>BELUM TERSEDIA</x:v>
      </x:c>
      <x:c r="D24" s="46" t="str">
        <x:v>Pengalaman</x:v>
      </x:c>
      <x:c r="E24" s="46"/>
      <x:c r="F24" s="46"/>
      <x:c r="G24" s="46"/>
    </x:row>
    <x:row r="25">
      <x:c r="A25" s="46" t="str">
        <x:v>I-065</x:v>
      </x:c>
      <x:c r="B25" s="46" t="str">
        <x:v>Sertifikat, penghargaan, izin profesi</x:v>
      </x:c>
      <x:c r="C25" s="52" t="str">
        <x:v>BELUM TERSEDIA</x:v>
      </x:c>
      <x:c r="D25" s="46" t="str">
        <x:v>Profil, Pengalaman</x:v>
      </x:c>
      <x:c r="E25" s="46"/>
      <x:c r="F25" s="46"/>
      <x:c r="G25" s="46"/>
    </x:row>
    <x:row r="26">
      <x:c r="A26" s="46" t="str">
        <x:v>I-066</x:v>
      </x:c>
      <x:c r="B26" s="46" t="str">
        <x:v>Checklist, SOP review, sample progress report</x:v>
      </x:c>
      <x:c r="C26" s="52" t="str">
        <x:v>BELUM TERSEDIA</x:v>
      </x:c>
      <x:c r="D26" s="46" t="str">
        <x:v>Profil, Pengalaman</x:v>
      </x:c>
      <x:c r="E26" s="46"/>
      <x:c r="F26" s="46"/>
      <x:c r="G26" s="46"/>
    </x:row>
    <x:row r="27">
      <x:c r="A27" s="46" t="str">
        <x:v>I-067</x:v>
      </x:c>
      <x:c r="B27" s="46" t="str">
        <x:v>Hasil proyek dan waktu penanganan terukur</x:v>
      </x:c>
      <x:c r="C27" s="46" t="str">
        <x:v>PERLU KONFIRMASI</x:v>
      </x:c>
      <x:c r="D27" s="46" t="str">
        <x:v>Pengalaman</x:v>
      </x:c>
      <x:c r="E27" s="46"/>
      <x:c r="F27" s="46"/>
      <x:c r="G27" s="46"/>
    </x:row>
    <x:row r="28">
      <x:c r="A28" s="46" t="str">
        <x:v>I-071</x:v>
      </x:c>
      <x:c r="B28" s="46" t="str">
        <x:v>Consent dan penjelasan penggunaan data</x:v>
      </x:c>
      <x:c r="C28" s="52" t="str">
        <x:v>BELUM TERSEDIA</x:v>
      </x:c>
      <x:c r="D28" s="46" t="str">
        <x:v>Kontak, Privacy</x:v>
      </x:c>
      <x:c r="E28" s="46"/>
      <x:c r="F28" s="46"/>
      <x:c r="G28" s="46"/>
    </x:row>
    <x:row r="29">
      <x:c r="A29" s="46" t="str">
        <x:v>I-072</x:v>
      </x:c>
      <x:c r="B29" s="46" t="str">
        <x:v>WhatsApp publik</x:v>
      </x:c>
      <x:c r="C29" s="46" t="str">
        <x:v>PERLU KONFIRMASI</x:v>
      </x:c>
      <x:c r="D29" s="46" t="str">
        <x:v>Navbar/contact</x:v>
      </x:c>
      <x:c r="E29" s="46"/>
      <x:c r="F29" s="46"/>
      <x:c r="G29" s="46"/>
    </x:row>
    <x:row r="30">
      <x:c r="A30" s="46" t="str">
        <x:v>I-073</x:v>
      </x:c>
      <x:c r="B30" s="46" t="str">
        <x:v>Email penerima inquiry CONTACT_TO_EMAIL</x:v>
      </x:c>
      <x:c r="C30" s="46" t="str">
        <x:v>PERLU KONFIRMASI</x:v>
      </x:c>
      <x:c r="D30" s="46" t="str">
        <x:v>Kontak</x:v>
      </x:c>
      <x:c r="E30" s="46"/>
      <x:c r="F30" s="46"/>
      <x:c r="G30" s="46"/>
    </x:row>
    <x:row r="31">
      <x:c r="A31" s="46" t="str">
        <x:v>I-074</x:v>
      </x:c>
      <x:c r="B31" s="46" t="str">
        <x:v>Respons normal maksimal satu hari kerja</x:v>
      </x:c>
      <x:c r="C31" s="46" t="str">
        <x:v>PERLU KONFIRMASI</x:v>
      </x:c>
      <x:c r="D31" s="46" t="str">
        <x:v>Contact, FAQ</x:v>
      </x:c>
      <x:c r="E31" s="46"/>
      <x:c r="F31" s="46"/>
      <x:c r="G31" s="46"/>
    </x:row>
    <x:row r="32" ht="23">
      <x:c r="A32" s="46" t="str">
        <x:v>I-078</x:v>
      </x:c>
      <x:c r="B32" s="46" t="str">
        <x:v>Author/reviewer, tanggal review, sumber hukum artikel</x:v>
      </x:c>
      <x:c r="C32" s="52" t="str">
        <x:v>BELUM TERSEDIA</x:v>
      </x:c>
      <x:c r="D32" s="46" t="str">
        <x:v>Article detail</x:v>
      </x:c>
      <x:c r="E32" s="46"/>
      <x:c r="F32" s="46"/>
      <x:c r="G32" s="46"/>
    </x:row>
    <x:row r="33">
      <x:c r="A33" s="46" t="str">
        <x:v>I-081</x:v>
      </x:c>
      <x:c r="B33" s="46" t="str">
        <x:v>Kebijakan Privasi</x:v>
      </x:c>
      <x:c r="C33" s="52" t="str">
        <x:v>BELUM TERSEDIA</x:v>
      </x:c>
      <x:c r="D33" s="46" t="str">
        <x:v>Privacy</x:v>
      </x:c>
      <x:c r="E33" s="46"/>
      <x:c r="F33" s="46"/>
      <x:c r="G33" s="46"/>
    </x:row>
    <x:row r="34">
      <x:c r="A34" s="46" t="str">
        <x:v>I-082</x:v>
      </x:c>
      <x:c r="B34" s="46" t="str">
        <x:v>Ketentuan Penggunaan dan batas tanggung jawab</x:v>
      </x:c>
      <x:c r="C34" s="52" t="str">
        <x:v>BELUM TERSEDIA</x:v>
      </x:c>
      <x:c r="D34" s="46" t="str">
        <x:v>Terms &amp; Disclaimer</x:v>
      </x:c>
      <x:c r="E34" s="46"/>
      <x:c r="F34" s="46"/>
      <x:c r="G34" s="46"/>
    </x:row>
    <x:row r="35">
      <x:c r="A35" s="46" t="str">
        <x:v>I-085</x:v>
      </x:c>
      <x:c r="B35" s="46" t="str">
        <x:v>Nomor registrasi PT Karya Usaha Sukses</x:v>
      </x:c>
      <x:c r="C35" s="54" t="str">
        <x:v>MENUNGGU VERIFIKASI</x:v>
      </x:c>
      <x:c r="D35" s="46" t="str">
        <x:v>Profile/legal</x:v>
      </x:c>
      <x:c r="E35" s="46" t="str">
        <x:v>Company</x:v>
      </x:c>
      <x:c r="F35" s="46" t="str">
        <x:v>Before launch</x:v>
      </x:c>
      <x:c r="G35" s="54" t="str">
        <x:v>MENUNGGU VERIFIKASI</x:v>
      </x:c>
    </x:row>
    <x:row r="36">
      <x:c r="A36" s="46" t="str">
        <x:v>I-086</x:v>
      </x:c>
      <x:c r="B36" s="46" t="str">
        <x:v>Approved modal/pop-up Thank You</x:v>
      </x:c>
      <x:c r="C36" s="46" t="str">
        <x:v>BELUM DITERAPKAN</x:v>
      </x:c>
      <x:c r="D36" s="46" t="str">
        <x:v>Contact</x:v>
      </x:c>
      <x:c r="E36" s="46" t="str">
        <x:v>Website team</x:v>
      </x:c>
      <x:c r="F36" s="46" t="str">
        <x:v>Before target completion</x:v>
      </x:c>
      <x:c r="G36" s="56" t="str">
        <x:v>DIPERBARUI</x:v>
      </x:c>
    </x:row>
    <x:row r="37">
      <x:c r="A37" s="46" t="str">
        <x:v>I-087</x:v>
      </x:c>
      <x:c r="B37" s="46" t="str">
        <x:v>Legal/editorial review for six preview articles</x:v>
      </x:c>
      <x:c r="C37" s="52" t="str">
        <x:v>BELUM TERSEDIA</x:v>
      </x:c>
      <x:c r="D37" s="46" t="str">
        <x:v>Blog/Article</x:v>
      </x:c>
      <x:c r="E37" s="46" t="str">
        <x:v>Legal reviewer</x:v>
      </x:c>
      <x:c r="F37" s="46" t="str">
        <x:v>Exclude from launch</x:v>
      </x:c>
      <x:c r="G37" s="58" t="str">
        <x:v>TIDAK BOLEH TAYANG</x:v>
      </x:c>
    </x:row>
    <x:row r="38">
      <x:c r="A38" s="46" t="str">
        <x:v>I-088</x:v>
      </x:c>
      <x:c r="B38" s="46" t="str">
        <x:v>Approved four-category service detail scope</x:v>
      </x:c>
      <x:c r="C38" s="52" t="str">
        <x:v>BELUM TERSEDIA</x:v>
      </x:c>
      <x:c r="D38" s="46" t="str">
        <x:v>Services</x:v>
      </x:c>
      <x:c r="E38" s="46" t="str">
        <x:v>Company/legal</x:v>
      </x:c>
      <x:c r="F38" s="46" t="str">
        <x:v>Before public scope claim</x:v>
      </x:c>
      <x:c r="G38" s="54" t="str">
        <x:v>MENUNGGU VERIFIKASI</x:v>
      </x:c>
    </x:row>
    <x:row r="39">
      <x:c r="A39" s="46" t="str">
        <x:v>I-089</x:v>
      </x:c>
      <x:c r="B39" s="46" t="str">
        <x:v>Replacement/removal plan for 15 prototype services</x:v>
      </x:c>
      <x:c r="C39" s="52" t="str">
        <x:v>BELUM TERSEDIA</x:v>
      </x:c>
      <x:c r="D39" s="46" t="str">
        <x:v>Home</x:v>
      </x:c>
      <x:c r="E39" s="46" t="str">
        <x:v>Website/content</x:v>
      </x:c>
      <x:c r="F39" s="46" t="str">
        <x:v>Before launch</x:v>
      </x:c>
      <x:c r="G39" s="54" t="str">
        <x:v>PLACEHOLDER INTERNAL</x:v>
      </x:c>
    </x:row>
    <x:row r="40">
      <x:c r="A40" s="46" t="str">
        <x:v>I-090</x:v>
      </x:c>
      <x:c r="B40" s="46" t="str">
        <x:v>Replacement/removal plan for dummy team and projects</x:v>
      </x:c>
      <x:c r="C40" s="52" t="str">
        <x:v>BELUM TERSEDIA</x:v>
      </x:c>
      <x:c r="D40" s="46" t="str">
        <x:v>Profile/Projects</x:v>
      </x:c>
      <x:c r="E40" s="46" t="str">
        <x:v>Website/content</x:v>
      </x:c>
      <x:c r="F40" s="46" t="str">
        <x:v>Before launch</x:v>
      </x:c>
      <x:c r="G40" s="58" t="str">
        <x:v>DATA DUMMY</x:v>
      </x:c>
    </x:row>
    <x:row r="41">
      <x:c r="A41" s="46" t="str">
        <x:v>I-091</x:v>
      </x:c>
      <x:c r="B41" s="46" t="str">
        <x:v>Privacy Policy and Terms</x:v>
      </x:c>
      <x:c r="C41" s="52" t="str">
        <x:v>BELUM TERSEDIA</x:v>
      </x:c>
      <x:c r="D41" s="46" t="str">
        <x:v>Contact/Footer</x:v>
      </x:c>
      <x:c r="E41" s="46" t="str">
        <x:v>Legal</x:v>
      </x:c>
      <x:c r="F41" s="46" t="str">
        <x:v>Before launch</x:v>
      </x:c>
      <x:c r="G41" s="58" t="str">
        <x:v>TIDAK DITEMUKAN DI WEBSITE</x:v>
      </x:c>
    </x:row>
    <x:row r="42">
      <x:c r="A42" s="46" t="str">
        <x:v>I-092</x:v>
      </x:c>
      <x:c r="B42" s="46" t="str">
        <x:v>Production robots/indexing policy</x:v>
      </x:c>
      <x:c r="C42" s="52" t="str">
        <x:v>BELUM TERSEDIA</x:v>
      </x:c>
      <x:c r="D42" s="46" t="str">
        <x:v>Technical</x:v>
      </x:c>
      <x:c r="E42" s="46" t="str">
        <x:v>Website/SEO</x:v>
      </x:c>
      <x:c r="F42" s="46" t="str">
        <x:v>Before public deployment</x:v>
      </x:c>
      <x:c r="G42" s="56" t="str">
        <x:v>DIPERBARUI</x:v>
      </x:c>
    </x:row>
    <x:row r="43">
      <x:c r="A43" s="46" t="str">
        <x:v>I-093</x:v>
      </x:c>
      <x:c r="B43" s="46" t="str">
        <x:v>Verified Organization structured data</x:v>
      </x:c>
      <x:c r="C43" s="52" t="str">
        <x:v>BELUM TERSEDIA</x:v>
      </x:c>
      <x:c r="D43" s="46" t="str">
        <x:v>Technical</x:v>
      </x:c>
      <x:c r="E43" s="46" t="str">
        <x:v>Website/SEO</x:v>
      </x:c>
      <x:c r="F43" s="46" t="str">
        <x:v>Before launch</x:v>
      </x:c>
      <x:c r="G43" s="58" t="str">
        <x:v>TIDAK BOLEH TAYANG</x:v>
      </x:c>
    </x:row>
  </x:sheetData>
  <x:mergeCells>
    <x:mergeCell ref="A1:D1"/>
    <x:mergeCell ref="A2:D3"/>
  </x:mergeCells>
  <x:dataValidations count="1">
    <x:dataValidation type="list" sqref="G5:G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8c96260dce45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62" hidden="0" customWidth="1"/>
    <x:col min="3" max="3" width="28" hidden="0" customWidth="1"/>
    <x:col min="4" max="4" width="62" hidden="0" customWidth="1"/>
  </x:cols>
  <x:sheetData>
    <x:row r="1" ht="34" customHeight="1">
      <x:c r="A1" s="17" t="str">
        <x:v>Critical Information Gaps</x:v>
      </x:c>
      <x:c r="B1" s="17"/>
      <x:c r="C1" s="17"/>
      <x:c r="D1" s="17"/>
    </x:row>
    <x:row r="2" ht="28" customHeight="1">
      <x:c r="A2" s="24" t="str">
        <x:v>Items affecting public identity, trust, form governance, SEO, and production readiness.</x:v>
      </x:c>
      <x:c r="B2" s="24"/>
      <x:c r="C2" s="24"/>
      <x:c r="D2" s="24"/>
    </x:row>
    <x:row r="3">
      <x:c r="A3" s="3"/>
      <x:c r="B3" s="3"/>
      <x:c r="C3" s="3"/>
      <x:c r="D3" s="3"/>
    </x:row>
    <x:row r="4" ht="34" customHeight="1">
      <x:c r="A4" s="33" t="str">
        <x:v>ID</x:v>
      </x:c>
      <x:c r="B4" s="33" t="str">
        <x:v>Informasi</x:v>
      </x:c>
      <x:c r="C4" s="33" t="str">
        <x:v>Status</x:v>
      </x:c>
      <x:c r="D4" s="33" t="str">
        <x:v>Impact/Release Gate</x:v>
      </x:c>
    </x:row>
    <x:row r="5">
      <x:c r="A5" s="45" t="str">
        <x:v>I-017</x:v>
      </x:c>
      <x:c r="B5" s="45" t="str">
        <x:v>Alamat jalan lengkap</x:v>
      </x:c>
      <x:c r="C5" s="48" t="str">
        <x:v>BELUM TERSEDIA</x:v>
      </x:c>
      <x:c r="D5" s="45" t="str">
        <x:v>Contact/footer - Before launch</x:v>
      </x:c>
    </x:row>
    <x:row r="6">
      <x:c r="A6" s="46" t="str">
        <x:v>I-018</x:v>
      </x:c>
      <x:c r="B6" s="46" t="str">
        <x:v>Kontak publik final Galdino &amp; Partner</x:v>
      </x:c>
      <x:c r="C6" s="52" t="str">
        <x:v>BELUM TERSEDIA</x:v>
      </x:c>
      <x:c r="D6" s="46" t="str">
        <x:v>Contact/header/footer - Before launch</x:v>
      </x:c>
    </x:row>
    <x:row r="7">
      <x:c r="A7" s="46" t="str">
        <x:v>I-021</x:v>
      </x:c>
      <x:c r="B7" s="46" t="str">
        <x:v>Domain galdinopartner.co.id</x:v>
      </x:c>
      <x:c r="C7" s="54" t="str">
        <x:v>MENUNGGU VERIFIKASI</x:v>
      </x:c>
      <x:c r="D7" s="46" t="str">
        <x:v>Technical - Purchase before launch</x:v>
      </x:c>
    </x:row>
    <x:row r="8">
      <x:c r="A8" s="46" t="str">
        <x:v>I-056</x:v>
      </x:c>
      <x:c r="B8" s="46" t="str">
        <x:v>Statistics 280/120/10</x:v>
      </x:c>
      <x:c r="C8" s="58" t="str">
        <x:v>TIDAK BOLEH TAYANG</x:v>
      </x:c>
      <x:c r="D8" s="46" t="str">
        <x:v>Home/Projects - Evidence or remove</x:v>
      </x:c>
    </x:row>
    <x:row r="9">
      <x:c r="A9" s="46" t="str">
        <x:v>I-059</x:v>
      </x:c>
      <x:c r="B9" s="46" t="str">
        <x:v>Real team credentials and photography</x:v>
      </x:c>
      <x:c r="C9" s="52" t="str">
        <x:v>BELUM TERSEDIA</x:v>
      </x:c>
      <x:c r="D9" s="46" t="str">
        <x:v>Profile - Before launch</x:v>
      </x:c>
    </x:row>
    <x:row r="10">
      <x:c r="A10" s="46" t="str">
        <x:v>I-085</x:v>
      </x:c>
      <x:c r="B10" s="46" t="str">
        <x:v>Nomor registrasi PT Karya Usaha Sukses</x:v>
      </x:c>
      <x:c r="C10" s="54" t="str">
        <x:v>MENUNGGU VERIFIKASI</x:v>
      </x:c>
      <x:c r="D10" s="46" t="str">
        <x:v>Profile/legal - Before launch</x:v>
      </x:c>
    </x:row>
    <x:row r="11">
      <x:c r="A11" s="46" t="str">
        <x:v>I-087</x:v>
      </x:c>
      <x:c r="B11" s="46" t="str">
        <x:v>Legal/editorial review for six preview articles</x:v>
      </x:c>
      <x:c r="C11" s="52" t="str">
        <x:v>BELUM TERSEDIA</x:v>
      </x:c>
      <x:c r="D11" s="46" t="str">
        <x:v>Blog/Article - Exclude from launch</x:v>
      </x:c>
    </x:row>
    <x:row r="12">
      <x:c r="A12" s="46" t="str">
        <x:v>I-089</x:v>
      </x:c>
      <x:c r="B12" s="46" t="str">
        <x:v>Replacement/removal plan for 15 prototype services</x:v>
      </x:c>
      <x:c r="C12" s="52" t="str">
        <x:v>BELUM TERSEDIA</x:v>
      </x:c>
      <x:c r="D12" s="46" t="str">
        <x:v>Home - Before launch</x:v>
      </x:c>
    </x:row>
    <x:row r="13">
      <x:c r="A13" s="46" t="str">
        <x:v>I-090</x:v>
      </x:c>
      <x:c r="B13" s="46" t="str">
        <x:v>Replacement/removal plan for dummy team and projects</x:v>
      </x:c>
      <x:c r="C13" s="52" t="str">
        <x:v>BELUM TERSEDIA</x:v>
      </x:c>
      <x:c r="D13" s="46" t="str">
        <x:v>Profile/Projects - Before launch</x:v>
      </x:c>
    </x:row>
    <x:row r="14">
      <x:c r="A14" s="46" t="str">
        <x:v>I-091</x:v>
      </x:c>
      <x:c r="B14" s="46" t="str">
        <x:v>Privacy Policy and Terms</x:v>
      </x:c>
      <x:c r="C14" s="52" t="str">
        <x:v>BELUM TERSEDIA</x:v>
      </x:c>
      <x:c r="D14" s="46" t="str">
        <x:v>Contact/Footer - Before launch</x:v>
      </x:c>
    </x:row>
    <x:row r="15">
      <x:c r="A15" s="46" t="str">
        <x:v>I-093</x:v>
      </x:c>
      <x:c r="B15" s="46" t="str">
        <x:v>Verified Organization structured data</x:v>
      </x:c>
      <x:c r="C15" s="52" t="str">
        <x:v>BELUM TERSEDIA</x:v>
      </x:c>
      <x:c r="D15" s="46" t="str">
        <x:v>Technical - Before launch</x:v>
      </x:c>
    </x:row>
    <x:row r="16">
      <x:c r="A16" s="6"/>
      <x:c r="B16" s="6"/>
      <x:c r="C16" s="6"/>
      <x:c r="D16" s="6"/>
    </x:row>
    <x:row r="17">
      <x:c r="A17" s="6"/>
      <x:c r="B17" s="6"/>
      <x:c r="C17" s="6"/>
      <x:c r="D17" s="6"/>
    </x:row>
    <x:row r="18">
      <x:c r="A18" s="6"/>
      <x:c r="B18" s="6"/>
      <x:c r="C18" s="6"/>
      <x:c r="D18" s="6"/>
    </x:row>
    <x:row r="19">
      <x:c r="A19" s="6"/>
      <x:c r="B19" s="6"/>
      <x:c r="C19" s="6"/>
      <x:c r="D19" s="6"/>
    </x:row>
    <x:row r="20">
      <x:c r="A20" s="6"/>
      <x:c r="B20" s="6"/>
      <x:c r="C20" s="6"/>
      <x:c r="D20" s="6"/>
    </x:row>
    <x:row r="21">
      <x:c r="A21" s="6"/>
      <x:c r="B21" s="6"/>
      <x:c r="C21" s="6"/>
      <x:c r="D21" s="6"/>
    </x:row>
    <x:row r="22">
      <x:c r="A22" s="6"/>
      <x:c r="B22" s="6"/>
      <x:c r="C22" s="6"/>
      <x:c r="D22" s="6"/>
    </x:row>
    <x:row r="23">
      <x:c r="A23" s="6"/>
      <x:c r="B23" s="6"/>
      <x:c r="C23" s="6"/>
      <x:c r="D23" s="6"/>
    </x:row>
    <x:row r="24" ht="23">
      <x:c r="A24" s="6"/>
      <x:c r="B24" s="6"/>
      <x:c r="C24" s="6"/>
      <x:c r="D24" s="6"/>
    </x:row>
    <x:row r="25">
      <x:c r="A25" s="6"/>
      <x:c r="B25" s="6"/>
      <x:c r="C25" s="6"/>
      <x:c r="D25" s="6"/>
    </x:row>
    <x:row r="26">
      <x:c r="A26" s="6"/>
      <x:c r="B26" s="6"/>
      <x:c r="C26" s="6"/>
      <x:c r="D26" s="6"/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390e71304dea4a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3" width="36" customWidth="1"/>
    <x:col min="4" max="4" width="24" hidden="0" customWidth="1"/>
    <x:col min="5" max="5" width="64" hidden="0" customWidth="1"/>
    <x:col min="2" max="2" width="70" hidden="0" customWidth="1"/>
    <x:col min="3" max="3" width="28" hidden="0" customWidth="1"/>
  </x:cols>
  <x:sheetData>
    <x:row r="1" ht="34" customHeight="1">
      <x:c r="A1" s="17" t="str">
        <x:v>Approved Decision Register</x:v>
      </x:c>
      <x:c r="B1" s="17"/>
      <x:c r="C1" s="17"/>
      <x:c r="D1" s="17"/>
      <x:c r="E1" s="17"/>
    </x:row>
    <x:row r="2" ht="28" customHeight="1">
      <x:c r="A2" s="24" t="str">
        <x:v>Former assumptions replaced by explicit user decisions where available.</x:v>
      </x:c>
      <x:c r="B2" s="24"/>
      <x:c r="C2" s="24"/>
      <x:c r="D2" s="24"/>
      <x:c r="E2" s="24"/>
    </x:row>
    <x:row r="3">
      <x:c r="A3" s="3"/>
      <x:c r="B3" s="3"/>
      <x:c r="C3" s="3"/>
      <x:c r="D3" s="3"/>
      <x:c r="E3" s="3"/>
    </x:row>
    <x:row r="4" ht="34" customHeight="1">
      <x:c r="A4" s="33" t="str">
        <x:v>ID</x:v>
      </x:c>
      <x:c r="B4" s="33" t="str">
        <x:v>Decision</x:v>
      </x:c>
      <x:c r="C4" s="33" t="str">
        <x:v>Basis</x:v>
      </x:c>
      <x:c r="D4" s="33" t="str">
        <x:v>Source</x:v>
      </x:c>
      <x:c r="E4" s="33" t="str">
        <x:v>Impact if Changed</x:v>
      </x:c>
    </x:row>
    <x:row r="5" ht="23">
      <x:c r="A5" s="45" t="str">
        <x:v>D-01</x:v>
      </x:c>
      <x:c r="B5" s="45" t="str">
        <x:v>Website actual is CURRENT; unimplemented Fase 2 pages remain backlog.</x:v>
      </x:c>
      <x:c r="C5" s="45" t="str">
        <x:v>Approved user decision</x:v>
      </x:c>
      <x:c r="D5" s="45" t="str">
        <x:v>User 2026-08-05</x:v>
      </x:c>
      <x:c r="E5" s="45" t="str">
        <x:v>If changed, all architecture/routing workbooks require revision.</x:v>
      </x:c>
    </x:row>
    <x:row r="6" ht="23">
      <x:c r="A6" s="46" t="str">
        <x:v>D-02</x:v>
      </x:c>
      <x:c r="B6" s="46" t="str">
        <x:v>Project/Kultivate phone and email are not final public GP contacts.</x:v>
      </x:c>
      <x:c r="C6" s="46" t="str">
        <x:v>Approved user decision</x:v>
      </x:c>
      <x:c r="D6" s="46" t="str">
        <x:v>User 2026-08-05</x:v>
      </x:c>
      <x:c r="E6" s="46" t="str">
        <x:v>Publishing them as GP contact would be misleading.</x:v>
      </x:c>
    </x:row>
    <x:row r="7" ht="23">
      <x:c r="A7" s="46" t="str">
        <x:v>D-03</x:v>
      </x:c>
      <x:c r="B7" s="46" t="str">
        <x:v>PT Karya Usaha Sukses is the legal operator; established 2015; Tangerang.</x:v>
      </x:c>
      <x:c r="C7" s="46" t="str">
        <x:v>Approved user fact</x:v>
      </x:c>
      <x:c r="D7" s="46" t="str">
        <x:v>User 2026-08-05</x:v>
      </x:c>
      <x:c r="E7" s="46" t="str">
        <x:v>Registration number still required.</x:v>
      </x:c>
    </x:row>
    <x:row r="8" ht="23">
      <x:c r="A8" s="46" t="str">
        <x:v>D-04</x:v>
      </x:c>
      <x:c r="B8" s="46" t="str">
        <x:v>Three named team profiles are high-fidelity dummy content.</x:v>
      </x:c>
      <x:c r="C8" s="46" t="str">
        <x:v>Approved user decision</x:v>
      </x:c>
      <x:c r="D8" s="46" t="str">
        <x:v>User 2026-08-05</x:v>
      </x:c>
      <x:c r="E8" s="46" t="str">
        <x:v>Must remain noindex and be replaced/removed before launch.</x:v>
      </x:c>
    </x:row>
    <x:row r="9" ht="23">
      <x:c r="A9" s="46" t="str">
        <x:v>D-05</x:v>
      </x:c>
      <x:c r="B9" s="46" t="str">
        <x:v>Fifteen service items are prototype content under four approved categories.</x:v>
      </x:c>
      <x:c r="C9" s="46" t="str">
        <x:v>Approved user decision</x:v>
      </x:c>
      <x:c r="D9" s="46" t="str">
        <x:v>User 2026-08-05</x:v>
      </x:c>
      <x:c r="E9" s="46" t="str">
        <x:v>Cannot be treated as final service scope.</x:v>
      </x:c>
    </x:row>
    <x:row r="10" ht="23">
      <x:c r="A10" s="46" t="str">
        <x:v>D-06</x:v>
      </x:c>
      <x:c r="B10" s="46" t="str">
        <x:v>Six articles are preview-only and excluded from launch.</x:v>
      </x:c>
      <x:c r="C10" s="46" t="str">
        <x:v>Approved user decision</x:v>
      </x:c>
      <x:c r="D10" s="46" t="str">
        <x:v>User 2026-08-05</x:v>
      </x:c>
      <x:c r="E10" s="46" t="str">
        <x:v>Need review or exclusion.</x:v>
      </x:c>
    </x:row>
    <x:row r="11" ht="23">
      <x:c r="A11" s="46" t="str">
        <x:v>D-07</x:v>
      </x:c>
      <x:c r="B11" s="46" t="str">
        <x:v>galdinopartner.co.id is the target domain but is not purchased.</x:v>
      </x:c>
      <x:c r="C11" s="46" t="str">
        <x:v>Approved user decision</x:v>
      </x:c>
      <x:c r="D11" s="46" t="str">
        <x:v>User 2026-08-05</x:v>
      </x:c>
      <x:c r="E11" s="46" t="str">
        <x:v>Current canonical remains placeholder.</x:v>
      </x:c>
    </x:row>
    <x:row r="12">
      <x:c r="A12" s="46" t="str">
        <x:v>D-08</x:v>
      </x:c>
      <x:c r="B12" s="46" t="str">
        <x:v>Thank You is a modal/pop-up, not a separate page.</x:v>
      </x:c>
      <x:c r="C12" s="46" t="str">
        <x:v>Approved user decision</x:v>
      </x:c>
      <x:c r="D12" s="46" t="str">
        <x:v>User 2026-08-05</x:v>
      </x:c>
      <x:c r="E12" s="46" t="str">
        <x:v>Contact UX implementation remains pending.</x:v>
      </x:c>
    </x:row>
    <x:row r="13">
      <x:c r="A13" s="46" t="str">
        <x:v>D-09</x:v>
      </x:c>
      <x:c r="B13" s="46" t="str">
        <x:v>Privacy/Terms remain unavailable; no new policy text is invented.</x:v>
      </x:c>
      <x:c r="C13" s="46" t="str">
        <x:v>Approved user decision</x:v>
      </x:c>
      <x:c r="D13" s="46" t="str">
        <x:v>User 2026-08-05</x:v>
      </x:c>
      <x:c r="E13" s="46" t="str">
        <x:v>Launch blocker remains visible.</x:v>
      </x:c>
    </x:row>
    <x:row r="14">
      <x:c r="A14" s="46" t="str">
        <x:v>D-10</x:v>
      </x:c>
      <x:c r="B14" s="46" t="str">
        <x:v>Galdino &amp; Partner by Kultivate may be published.</x:v>
      </x:c>
      <x:c r="C14" s="46" t="str">
        <x:v>Approved user decision</x:v>
      </x:c>
      <x:c r="D14" s="46" t="str">
        <x:v>User 2026-08-05</x:v>
      </x:c>
      <x:c r="E14" s="46" t="str">
        <x:v>Must not obscure PT Karya Usaha Sukses as operator.</x:v>
      </x:c>
    </x:row>
    <x:row r="15">
      <x:c r="A15" s="46" t="str">
        <x:v>D-11</x:v>
      </x:c>
      <x:c r="B15" s="46" t="str">
        <x:v>Resend is the only initial inquiry integration.</x:v>
      </x:c>
      <x:c r="C15" s="46" t="str">
        <x:v>Approved user decision</x:v>
      </x:c>
      <x:c r="D15" s="46" t="str">
        <x:v>User 2026-08-05</x:v>
      </x:c>
      <x:c r="E15" s="46" t="str">
        <x:v>Google Sheets/CRM moved to backlog.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fc04b4099c1347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4" width="36" customWidth="1"/>
    <x:col min="2" max="2" width="66" hidden="0" customWidth="1"/>
    <x:col min="3" max="3" width="70" hidden="0" customWidth="1"/>
    <x:col min="4" max="4" width="32" hidden="0" customWidth="1"/>
  </x:cols>
  <x:sheetData>
    <x:row r="1" ht="34" customHeight="1">
      <x:c r="A1" s="17" t="str">
        <x:v>Konflik dan Resolusi - Aligned</x:v>
      </x:c>
      <x:c r="B1" s="17"/>
      <x:c r="C1" s="17"/>
      <x:c r="D1" s="17"/>
    </x:row>
    <x:row r="2" ht="28" customHeight="1">
      <x:c r="A2" s="24" t="str">
        <x:v>Resolutions follow the approved source hierarchy and preserve backlog decisions.</x:v>
      </x:c>
      <x:c r="B2" s="24"/>
      <x:c r="C2" s="24"/>
      <x:c r="D2" s="24"/>
    </x:row>
    <x:row r="3">
      <x:c r="A3" s="3"/>
      <x:c r="B3" s="3"/>
      <x:c r="C3" s="3"/>
      <x:c r="D3" s="3"/>
    </x:row>
    <x:row r="4" ht="34" customHeight="1">
      <x:c r="A4" s="33" t="str">
        <x:v>Topic</x:v>
      </x:c>
      <x:c r="B4" s="33" t="str">
        <x:v>Conflict</x:v>
      </x:c>
      <x:c r="C4" s="33" t="str">
        <x:v>Decision</x:v>
      </x:c>
      <x:c r="D4" s="33" t="str">
        <x:v>Priority Source</x:v>
      </x:c>
    </x:row>
    <x:row r="5" ht="34.5">
      <x:c r="A5" s="45" t="str">
        <x:v>Source priority</x:v>
      </x:c>
      <x:c r="B5" s="45" t="str">
        <x:v>Old blueprint prioritized Discovery over implementation</x:v>
      </x:c>
      <x:c r="C5" s="45" t="str">
        <x:v>Website &gt; latest F2 &gt; F1 &gt; supporting</x:v>
      </x:c>
      <x:c r="D5" s="45" t="str">
        <x:v>User brief 2026-08-05</x:v>
      </x:c>
    </x:row>
    <x:row r="6" ht="34.5">
      <x:c r="A6" s="46" t="str">
        <x:v>Legal identity</x:v>
      </x:c>
      <x:c r="B6" s="46" t="str">
        <x:v>Website placeholder; F1/F2 pending</x:v>
      </x:c>
      <x:c r="C6" s="46" t="str">
        <x:v>PT Karya Usaha Sukses operator; 2015; Tangerang</x:v>
      </x:c>
      <x:c r="D6" s="46" t="str">
        <x:v>User decision</x:v>
      </x:c>
    </x:row>
    <x:row r="7" ht="23">
      <x:c r="A7" s="46" t="str">
        <x:v>Brand relationship</x:v>
      </x:c>
      <x:c r="B7" s="46" t="str">
        <x:v>Kultivate relationship pending</x:v>
      </x:c>
      <x:c r="C7" s="46" t="str">
        <x:v>Galdino &amp; Partner by Kultivate approved</x:v>
      </x:c>
      <x:c r="D7" s="46" t="str">
        <x:v>User decision</x:v>
      </x:c>
    </x:row>
    <x:row r="8" ht="34.5">
      <x:c r="A8" s="46" t="str">
        <x:v>Public contact</x:v>
      </x:c>
      <x:c r="B8" s="46" t="str">
        <x:v>Website displays project phone/email</x:v>
      </x:c>
      <x:c r="C8" s="46" t="str">
        <x:v>Classify as internal placeholder; public GP contact missing</x:v>
      </x:c>
      <x:c r="D8" s="46" t="str">
        <x:v>User decision</x:v>
      </x:c>
    </x:row>
    <x:row r="9" ht="23">
      <x:c r="A9" s="46" t="str">
        <x:v>Routes</x:v>
      </x:c>
      <x:c r="B9" s="46" t="str">
        <x:v>F2 localized slugs</x:v>
      </x:c>
      <x:c r="C9" s="46" t="str">
        <x:v>Use implemented English segments in both locales</x:v>
      </x:c>
      <x:c r="D9" s="46" t="str">
        <x:v>Website</x:v>
      </x:c>
    </x:row>
    <x:row r="10" ht="23">
      <x:c r="A10" s="46" t="str">
        <x:v>Page architecture</x:v>
      </x:c>
      <x:c r="B10" s="46" t="str">
        <x:v>F2 15 page types</x:v>
      </x:c>
      <x:c r="C10" s="46" t="str">
        <x:v>Eight current types + seven backlog groups</x:v>
      </x:c>
      <x:c r="D10" s="46" t="str">
        <x:v>Website + user</x:v>
      </x:c>
    </x:row>
    <x:row r="11" ht="34.5">
      <x:c r="A11" s="46" t="str">
        <x:v>Thank You</x:v>
      </x:c>
      <x:c r="B11" s="46" t="str">
        <x:v>Separate page planned</x:v>
      </x:c>
      <x:c r="C11" s="46" t="str">
        <x:v>Merged into modal target</x:v>
      </x:c>
      <x:c r="D11" s="46" t="str">
        <x:v>User decision</x:v>
      </x:c>
    </x:row>
    <x:row r="12" ht="23">
      <x:c r="A12" s="46" t="str">
        <x:v>Services</x:v>
      </x:c>
      <x:c r="B12" s="46" t="str">
        <x:v>Four categories plus planned detail pages</x:v>
      </x:c>
      <x:c r="C12" s="46" t="str">
        <x:v>Four categories retained; 15 items prototype; details backlog</x:v>
      </x:c>
      <x:c r="D12" s="46" t="str">
        <x:v>Website + user</x:v>
      </x:c>
    </x:row>
    <x:row r="13">
      <x:c r="A13" s="46" t="str">
        <x:v>Team</x:v>
      </x:c>
      <x:c r="B13" s="46" t="str">
        <x:v>Team content pending</x:v>
      </x:c>
      <x:c r="C13" s="46" t="str">
        <x:v>Current names/roles are dummy high-fidelity</x:v>
      </x:c>
      <x:c r="D13" s="46" t="str">
        <x:v>User decision</x:v>
      </x:c>
    </x:row>
    <x:row r="14">
      <x:c r="A14" s="46" t="str">
        <x:v>Articles</x:v>
      </x:c>
      <x:c r="B14" s="46" t="str">
        <x:v>Article governance required</x:v>
      </x:c>
      <x:c r="C14" s="46" t="str">
        <x:v>Current six are preview-only and excluded from launch</x:v>
      </x:c>
      <x:c r="D14" s="46" t="str">
        <x:v>User decision</x:v>
      </x:c>
    </x:row>
    <x:row r="15">
      <x:c r="A15" s="46" t="str">
        <x:v>Inquiry integration</x:v>
      </x:c>
      <x:c r="B15" s="46" t="str">
        <x:v>Discovery mentioned Google Sheets</x:v>
      </x:c>
      <x:c r="C15" s="46" t="str">
        <x:v>Resend only for initial version</x:v>
      </x:c>
      <x:c r="D15" s="46" t="str">
        <x:v>User decision</x:v>
      </x:c>
    </x:row>
    <x:row r="16">
      <x:c r="A16" s="46" t="str">
        <x:v>Color</x:v>
      </x:c>
      <x:c r="B16" s="46" t="str">
        <x:v>Blueprint #F7F7F5 vs brand/code #F4F3F1</x:v>
      </x:c>
      <x:c r="C16" s="46" t="str">
        <x:v>Use #F4F3F1</x:v>
      </x:c>
      <x:c r="D16" s="46" t="str">
        <x:v>Website + Brand Guidelines</x:v>
      </x:c>
    </x:row>
    <x:row r="17">
      <x:c r="A17" s="46" t="str">
        <x:v>Policies</x:v>
      </x:c>
      <x:c r="B17" s="46" t="str">
        <x:v>F2 planned Privacy/Terms</x:v>
      </x:c>
      <x:c r="C17" s="46" t="str">
        <x:v>Keep as backlog/launch blockers; do not invent</x:v>
      </x:c>
      <x:c r="D17" s="46" t="str">
        <x:v>Website + user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99f87902547c4f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17" t="str">
        <x:v>Source Notes</x:v>
      </x:c>
      <x:c r="B1" s="17"/>
      <x:c r="C1" s="18"/>
      <x:c r="D1" s="18"/>
      <x:c r="E1" s="2"/>
      <x:c r="F1" s="2"/>
    </x:row>
    <x:row r="2" ht="28" customHeight="1">
      <x:c r="A2" s="24" t="str">
        <x:v>Source hierarchy and traceability for the aligned missing-information and conflict register.</x:v>
      </x:c>
      <x:c r="B2" s="24"/>
      <x:c r="C2" s="27"/>
      <x:c r="D2" s="27"/>
      <x:c r="E2" s="4"/>
      <x:c r="F2" s="4"/>
    </x:row>
    <x:row r="3">
      <x:c r="A3" s="3"/>
      <x:c r="B3" s="3"/>
    </x:row>
    <x:row r="4" ht="34" customHeight="1">
      <x:c r="A4" s="33" t="str">
        <x:v>Source</x:v>
      </x:c>
      <x:c r="B4" s="33" t="str">
        <x:v>Priority</x:v>
      </x:c>
      <x:c r="C4" s="36" t="str">
        <x:v>Function</x:v>
      </x:c>
      <x:c r="D4" s="36" t="str">
        <x:v>Location</x:v>
      </x:c>
    </x:row>
    <x:row r="5" ht="46">
      <x:c r="A5" s="69" t="str">
        <x:v>Website/codebase aktual</x:v>
      </x:c>
      <x:c r="B5" s="69" t="str">
        <x:v>Primary</x:v>
      </x:c>
      <x:c r="C5" s="69" t="str">
        <x:v>Implemented route, page structure, navigation, CTA, user flow, feature, and technical behavior.</x:v>
      </x:c>
      <x:c r="D5" s="69" t="str">
        <x:v>C:\Users\Joshua\OneDrive\Documents\Law\outputs\galdino_partner\website</x:v>
      </x:c>
    </x:row>
    <x:row r="6" ht="34.5">
      <x:c r="A6" s="71" t="str">
        <x:v>Dokumen Fase 2 terbaru</x:v>
      </x:c>
      <x:c r="B6" s="71" t="str">
        <x:v>Secondary</x:v>
      </x:c>
      <x:c r="C6" s="71" t="str">
        <x:v>Architecture and decisions; unimplemented elements are retained as backlog.</x:v>
      </x:c>
      <x:c r="D6" s="71" t="str">
        <x:v>C:\Users\Joshua\OneDrive\Documents\Law\outputs\galdino_partner\plan\FASE 2</x:v>
      </x:c>
    </x:row>
    <x:row r="7" ht="34.5">
      <x:c r="A7" s="71" t="str">
        <x:v>Dokumen Fase 1</x:v>
      </x:c>
      <x:c r="B7" s="71" t="str">
        <x:v>Tertiary</x:v>
      </x:c>
      <x:c r="C7" s="71" t="str">
        <x:v>Discovery, business facts, brand foundation, user needs, and project context.</x:v>
      </x:c>
      <x:c r="D7" s="71" t="str">
        <x:v>C:\Users\Joshua\OneDrive\Documents\Law\outputs\galdino_partner\plan\FASE 1</x:v>
      </x:c>
    </x:row>
    <x:row r="8" ht="34.5">
      <x:c r="A8" s="71" t="str">
        <x:v>Brand Guidelines dan audit pendukung</x:v>
      </x:c>
      <x:c r="B8" s="71" t="str">
        <x:v>Supporting</x:v>
      </x:c>
      <x:c r="C8" s="71" t="str">
        <x:v>Reference only; cannot create claims or expand approved scope.</x:v>
      </x:c>
      <x:c r="D8" s="71" t="str">
        <x:v>C:\Users\Joshua\OneDrive\Documents\Law\outputs\galdino_partner\brand</x:v>
      </x:c>
    </x:row>
    <x:row r="9" ht="23">
      <x:c r="A9" s="71" t="str">
        <x:v>Keputusan pengguna 5 Agustus 2026</x:v>
      </x:c>
      <x:c r="B9" s="71" t="str">
        <x:v>Approval</x:v>
      </x:c>
      <x:c r="C9" s="71" t="str">
        <x:v>Eleven explicit decisions controlling current/backlog, legal identity, prototype content, domain, inquiry, and governance.</x:v>
      </x:c>
      <x:c r="D9" s="71" t="str">
        <x:v>Current Codex task</x:v>
      </x:c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f1a310a5a5554243"/>
  </x:tableParts>
</x:worksheet>
</file>