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56ae831f3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238fe9869a462e"/>
    <x:sheet xmlns:r="http://schemas.openxmlformats.org/officeDocument/2006/relationships" name="Grouping Matrix" sheetId="2" r:id="R289307c4993f46c7"/>
    <x:sheet xmlns:r="http://schemas.openxmlformats.org/officeDocument/2006/relationships" name="Initial Page List" sheetId="3" r:id="R72fd5f70b8ae454f"/>
    <x:sheet xmlns:r="http://schemas.openxmlformats.org/officeDocument/2006/relationships" name="Source Notes" sheetId="4" r:id="Ra78a401a769a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</x:numFmts>
  <x:fonts count="38">
    <x:font>
      <x:sz val="11"/>
      <x:name val="Carlito"/>
    </x:font>
    <x:font>
      <x:b/>
      <x:sz val="16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0B0B0C"/>
      <x:name val="Carlito"/>
    </x:font>
    <x:font>
      <x:b/>
      <x:sz val="11"/>
      <x:color theme="0"/>
      <x:name val="Carlito"/>
    </x:font>
    <x:font>
      <x:b/>
      <x:sz val="14"/>
      <x:color theme="0"/>
      <x:name val="Carlito"/>
    </x:font>
    <x:font>
      <x:sz val="11"/>
      <x:color rgb="FF0B0B0C"/>
      <x:name val="Carlito"/>
    </x:font>
    <x:font>
      <x:b/>
      <x:sz val="14"/>
      <x:color rgb="FFC414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b/>
      <x:sz val="19"/>
      <x:color rgb="FFFFFFFF"/>
      <x:name val="Aptos Display"/>
    </x:font>
    <x:font>
      <x:sz val="9"/>
      <x:color rgb="FF0F0F0F"/>
      <x:name val="Aptos"/>
    </x:font>
    <x:font>
      <x:b/>
      <x:sz val="9"/>
      <x:color rgb="FF0F0F0F"/>
      <x:name val="Aptos"/>
    </x:font>
    <x:font>
      <x:b/>
      <x:sz val="14"/>
      <x:color rgb="FF720D1C"/>
      <x:name val="Aptos Display"/>
    </x:font>
  </x:fonts>
  <x:fills count="43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7F7F5"/>
      </x:patternFill>
    </x:fill>
    <x:fill>
      <x:patternFill patternType="solid">
        <x:fgColor rgb="FF720D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7F5EC"/>
      </x:patternFill>
    </x:fill>
    <x:fill>
      <x:patternFill patternType="solid">
        <x:fgColor rgb="FFE8F1FA"/>
      </x:patternFill>
    </x:fill>
    <x:fill>
      <x:patternFill patternType="solid">
        <x:fgColor rgb="FFF9E9EC"/>
      </x:patternFill>
    </x:fill>
    <x:fill>
      <x:patternFill patternType="solid">
        <x:fgColor rgb="FFFFF4CC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8" fontId="9" fillId="0" borderId="0" applyFont="0" applyFill="0" applyBorder="0" applyAlignment="0" applyProtection="0">
      <x:alignment vertical="center"/>
    </x:xf>
    <x:xf numFmtId="179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84">
    <x:xf numFmtId="0" fontId="0" fillId="0" borderId="0" xfId="0"/>
    <x:xf numFmtId="0" fontId="1" fillId="2" borderId="0" xfId="0" applyNumberFormat="1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Fill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 vertical="center"/>
    </x:xf>
    <x:xf numFmtId="0" fontId="29" fillId="36" borderId="0" xfId="0" applyNumberFormat="1" applyFont="1" applyFill="1" applyBorder="1" applyAlignment="1">
      <x:alignment horizontal="center" vertical="center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horizontal="center" vertical="center" wrapText="1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 applyAlignment="1">
      <x:alignment horizontal="center" vertical="center" wrapText="1"/>
    </x:xf>
    <x:xf numFmtId="0" fontId="31" fillId="38" borderId="9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 applyAlignment="1">
      <x:alignment vertical="top" wrapText="1"/>
    </x:xf>
    <x:xf numFmtId="0" fontId="32" fillId="0" borderId="10" xfId="0" applyNumberFormat="1" applyFont="1" applyFill="1" applyBorder="1" applyAlignment="1">
      <x:alignment vertical="center" wrapText="1"/>
    </x:xf>
    <x:xf numFmtId="0" fontId="32" fillId="0" borderId="11" xfId="0" applyNumberFormat="1" applyFont="1" applyFill="1" applyBorder="1" applyAlignment="1">
      <x:alignment vertical="center" wrapText="1"/>
    </x:xf>
    <x:xf numFmtId="0" fontId="32" fillId="39" borderId="10" xfId="0" applyNumberFormat="1" applyFont="1" applyFill="1" applyBorder="1" applyAlignment="1">
      <x:alignment vertical="center" wrapText="1"/>
    </x:xf>
    <x:xf numFmtId="0" fontId="33" fillId="39" borderId="10" xfId="0" applyNumberFormat="1" applyFont="1" applyFill="1" applyBorder="1" applyAlignment="1">
      <x:alignment vertical="center" wrapText="1"/>
    </x:xf>
    <x:xf numFmtId="0" fontId="32" fillId="40" borderId="11" xfId="0" applyNumberFormat="1" applyFont="1" applyFill="1" applyBorder="1" applyAlignment="1">
      <x:alignment vertical="center" wrapText="1"/>
    </x:xf>
    <x:xf numFmtId="0" fontId="33" fillId="40" borderId="11" xfId="0" applyNumberFormat="1" applyFont="1" applyFill="1" applyBorder="1" applyAlignment="1">
      <x:alignment vertical="center" wrapText="1"/>
    </x:xf>
    <x:xf numFmtId="0" fontId="32" fillId="39" borderId="11" xfId="0" applyNumberFormat="1" applyFont="1" applyFill="1" applyBorder="1" applyAlignment="1">
      <x:alignment vertical="center" wrapText="1"/>
    </x:xf>
    <x:xf numFmtId="0" fontId="33" fillId="39" borderId="11" xfId="0" applyNumberFormat="1" applyFont="1" applyFill="1" applyBorder="1" applyAlignment="1">
      <x:alignment vertical="center" wrapText="1"/>
    </x:xf>
    <x:xf numFmtId="0" fontId="32" fillId="41" borderId="11" xfId="0" applyNumberFormat="1" applyFont="1" applyFill="1" applyBorder="1" applyAlignment="1">
      <x:alignment vertical="center" wrapText="1"/>
    </x:xf>
    <x:xf numFmtId="0" fontId="33" fillId="41" borderId="11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horizontal="left" vertical="center"/>
    </x:xf>
    <x:xf numFmtId="0" fontId="29" fillId="36" borderId="0" xfId="0" applyNumberFormat="1" applyFont="1" applyFill="1" applyBorder="1" applyAlignment="1">
      <x:alignment horizontal="left" vertical="center"/>
    </x:xf>
    <x:xf numFmtId="0" fontId="2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1" fillId="38" borderId="0" xfId="0" applyNumberFormat="1" applyFont="1" applyFill="1" applyBorder="1"/>
    <x:xf numFmtId="0" fontId="31" fillId="38" borderId="9" xfId="0" applyNumberFormat="1" applyFont="1" applyFill="1" applyBorder="1"/>
    <x:xf numFmtId="0" fontId="31" fillId="38" borderId="9" xfId="0" applyNumberFormat="1" applyFont="1" applyFill="1" applyBorder="1" applyAlignment="1">
      <x:alignment wrapText="1"/>
    </x:xf>
    <x:xf numFmtId="0" fontId="31" fillId="38" borderId="9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/>
    <x:xf numFmtId="0" fontId="32" fillId="0" borderId="10" xfId="0" applyNumberFormat="1" applyFont="1" applyFill="1" applyBorder="1"/>
    <x:xf numFmtId="0" fontId="32" fillId="0" borderId="11" xfId="0" applyNumberFormat="1" applyFont="1" applyFill="1" applyBorder="1"/>
    <x:xf numFmtId="0" fontId="32" fillId="0" borderId="10" xfId="0" applyNumberFormat="1" applyFont="1" applyFill="1" applyBorder="1" applyAlignment="1">
      <x:alignment wrapText="1"/>
    </x:xf>
    <x:xf numFmtId="0" fontId="32" fillId="0" borderId="11" xfId="0" applyNumberFormat="1" applyFont="1" applyFill="1" applyBorder="1" applyAlignment="1">
      <x:alignment wrapText="1"/>
    </x:xf>
    <x:xf numFmtId="0" fontId="34" fillId="36" borderId="0" xfId="0" applyNumberFormat="1" applyFont="1" applyFill="1" applyBorder="1" applyAlignment="1">
      <x:alignment horizontal="center" vertical="center"/>
    </x:xf>
    <x:xf numFmtId="0" fontId="34" fillId="36" borderId="0" xfId="0" applyNumberFormat="1" applyFont="1" applyFill="1" applyBorder="1" applyAlignment="1">
      <x:alignment horizontal="left" vertical="center"/>
    </x:xf>
    <x:xf numFmtId="0" fontId="5" fillId="38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vertical="top" wrapText="1"/>
    </x:xf>
    <x:xf numFmtId="0" fontId="36" fillId="0" borderId="0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vertical="top" wrapText="1"/>
    </x:xf>
    <x:xf numFmtId="0" fontId="36" fillId="0" borderId="10" xfId="0" applyNumberFormat="1" applyFont="1" applyFill="1" applyBorder="1" applyAlignment="1">
      <x:alignment horizontal="center" vertical="top" wrapText="1"/>
    </x:xf>
    <x:xf numFmtId="0" fontId="35" fillId="0" borderId="11" xfId="0" applyNumberFormat="1" applyFont="1" applyFill="1" applyBorder="1" applyAlignment="1">
      <x:alignment vertical="top" wrapText="1"/>
    </x:xf>
    <x:xf numFmtId="0" fontId="36" fillId="0" borderId="11" xfId="0" applyNumberFormat="1" applyFont="1" applyFill="1" applyBorder="1" applyAlignment="1">
      <x:alignment horizontal="center" vertical="top" wrapText="1"/>
    </x:xf>
    <x:xf numFmtId="0" fontId="35" fillId="0" borderId="10" xfId="0" applyNumberFormat="1" applyFont="1" applyFill="1" applyBorder="1" applyAlignment="1">
      <x:alignment vertical="center" wrapText="1"/>
    </x:xf>
    <x:xf numFmtId="0" fontId="36" fillId="0" borderId="10" xfId="0" applyNumberFormat="1" applyFont="1" applyFill="1" applyBorder="1" applyAlignment="1">
      <x:alignment horizontal="center" vertical="center" wrapText="1"/>
    </x:xf>
    <x:xf numFmtId="0" fontId="35" fillId="0" borderId="11" xfId="0" applyNumberFormat="1" applyFont="1" applyFill="1" applyBorder="1" applyAlignment="1">
      <x:alignment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36" fillId="39" borderId="10" xfId="0" applyNumberFormat="1" applyFont="1" applyFill="1" applyBorder="1" applyAlignment="1">
      <x:alignment horizontal="center" vertical="center" wrapText="1"/>
    </x:xf>
    <x:xf numFmtId="0" fontId="36" fillId="39" borderId="11" xfId="0" applyNumberFormat="1" applyFont="1" applyFill="1" applyBorder="1" applyAlignment="1">
      <x:alignment horizontal="center" vertical="center" wrapText="1"/>
    </x:xf>
    <x:xf numFmtId="0" fontId="37" fillId="39" borderId="10" xfId="0" applyNumberFormat="1" applyFont="1" applyFill="1" applyBorder="1" applyAlignment="1">
      <x:alignment horizontal="center" vertical="center" wrapText="1"/>
    </x:xf>
    <x:xf numFmtId="0" fontId="37" fillId="39" borderId="11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2" borderId="0" xfId="0" applyNumberFormat="1" applyFont="1" applyFill="1" applyBorder="1"/>
    <x:xf numFmtId="0" fontId="35" fillId="42" borderId="0" xfId="0" applyNumberFormat="1" applyFont="1" applyFill="1" applyBorder="1"/>
    <x:xf numFmtId="0" fontId="36" fillId="42" borderId="0" xfId="0" applyNumberFormat="1" applyFont="1" applyFill="1" applyBorder="1"/>
    <x:xf numFmtId="0" fontId="35" fillId="42" borderId="0" xfId="0" applyNumberFormat="1" applyFont="1" applyFill="1" applyBorder="1" applyAlignment="1">
      <x:alignment wrapText="1"/>
    </x:xf>
    <x:xf numFmtId="0" fontId="36" fillId="42" borderId="0" xfId="0" applyNumberFormat="1" applyFont="1" applyFill="1" applyBorder="1" applyAlignment="1">
      <x:alignment wrapText="1"/>
    </x:xf>
    <x:xf numFmtId="0" fontId="35" fillId="42" borderId="0" xfId="0" applyNumberFormat="1" applyFont="1" applyFill="1" applyBorder="1" applyAlignment="1">
      <x:alignment vertical="center" wrapText="1"/>
    </x:xf>
    <x:xf numFmtId="0" fontId="36" fillId="42" borderId="0" xfId="0" applyNumberFormat="1" applyFont="1" applyFill="1" applyBorder="1" applyAlignment="1">
      <x:alignment vertical="center" wrapText="1"/>
    </x:xf>
    <x:xf numFmtId="0" fontId="35" fillId="38" borderId="0" xfId="0" applyNumberFormat="1" applyFont="1" applyFill="1" applyBorder="1" applyAlignment="1">
      <x:alignment vertical="center" wrapText="1"/>
    </x:xf>
    <x:xf numFmtId="0" fontId="31" fillId="38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0" fontId="35" fillId="0" borderId="10" xfId="0" applyNumberFormat="1" applyFont="1" applyFill="1" applyBorder="1"/>
    <x:xf numFmtId="0" fontId="35" fillId="0" borderId="11" xfId="0" applyNumberFormat="1" applyFont="1" applyFill="1" applyBorder="1"/>
    <x:xf numFmtId="0" fontId="35" fillId="0" borderId="10" xfId="0" applyNumberFormat="1" applyFont="1" applyFill="1" applyBorder="1" applyAlignment="1">
      <x:alignment wrapText="1"/>
    </x:xf>
    <x:xf numFmtId="0" fontId="35" fillId="0" borderId="11" xfId="0" applyNumberFormat="1" applyFont="1" applyFill="1" applyBorder="1" applyAlignment="1">
      <x:alignment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1">
    <x:dxf/>
    <x:dxf/>
    <x:dxf/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c7fd4c6dc4979" /><Relationship Type="http://schemas.openxmlformats.org/officeDocument/2006/relationships/theme" Target="/xl/theme/theme1.xml" Id="R12dbbea5b33747c9" /><Relationship Type="http://schemas.openxmlformats.org/officeDocument/2006/relationships/sharedStrings" Target="/xl/sharedStrings.xml" Id="R11cf0036aed345d3" /><Relationship Type="http://schemas.openxmlformats.org/officeDocument/2006/relationships/worksheet" Target="/xl/worksheets/sheet1.xml" Id="R67238fe9869a462e" /><Relationship Type="http://schemas.openxmlformats.org/officeDocument/2006/relationships/worksheet" Target="/xl/worksheets/sheet2.xml" Id="R289307c4993f46c7" /><Relationship Type="http://schemas.openxmlformats.org/officeDocument/2006/relationships/worksheet" Target="/xl/worksheets/sheet3.xml" Id="R72fd5f70b8ae454f" /><Relationship Type="http://schemas.openxmlformats.org/officeDocument/2006/relationships/worksheet" Target="/xl/worksheets/sheet4.xml" Id="Ra78a401a769a4260" /></Relationships>
</file>

<file path=xl/tables/table1.xml><?xml version="1.0" encoding="utf-8"?>
<x:table xmlns:x="http://schemas.openxmlformats.org/spreadsheetml/2006/main" id="1" name="DashboardTable" displayName="DashboardTable" ref="A4:C8">
  <x:tableColumns count="3">
    <x:tableColumn id="1" name="Metric"/>
    <x:tableColumn id="2" name="Value" dataDxfId="0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ingMatrixTable" displayName="GroupingMatrixTable" ref="A4:I24">
  <x:tableColumns count="9">
    <x:tableColumn id="1" name="ID"/>
    <x:tableColumn id="2" name="Nama Halaman Sementara"/>
    <x:tableColumn id="3" name="Kelompok Informasi"/>
    <x:tableColumn id="4" name="Informasi Ditempatkan"/>
    <x:tableColumn id="5" name="Alasan"/>
    <x:tableColumn id="6" name="Target"/>
    <x:tableColumn id="7" name="Kebutuhan"/>
    <x:tableColumn id="8" name="Dasar/Sumber"/>
    <x:tableColumn id="9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itialPageListTable" displayName="InitialPageListTable" ref="A4:C24">
  <x:tableColumns count="3">
    <x:tableColumn id="1" name="ID" dataDxfId="1"/>
    <x:tableColumn id="2" name="Halaman Awal" dataDxfId="2"/>
    <x:tableColumn id="3" name="Catatan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Table" displayName="SourceNotesTable" ref="A4:B9">
  <x:tableColumns count="2">
    <x:tableColumn id="1" name="Sumber"/>
    <x:tableColumn id="2" name="Fung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2204a19d744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bbffcab7e04b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b64f6152ee4a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cb2109146742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50" t="str">
        <x:v>Grouping Dashboard - Aligned</x:v>
      </x:c>
      <x:c r="B1" s="50"/>
      <x:c r="C1" s="50"/>
      <x:c r="D1" s="51"/>
      <x:c r="E1" s="51"/>
      <x:c r="F1" s="51"/>
      <x:c r="G1" s="51"/>
      <x:c r="H1" s="51"/>
    </x:row>
    <x:row r="2" ht="26" customHeight="1">
      <x:c r="A2" s="18" t="str">
        <x:v>Current implemented architecture with approved backlog.</x:v>
      </x:c>
      <x:c r="B2" s="18"/>
      <x:c r="C2" s="18"/>
      <x:c r="D2" s="38"/>
      <x:c r="E2" s="38"/>
      <x:c r="F2" s="38"/>
      <x:c r="G2" s="38"/>
      <x:c r="H2" s="38"/>
    </x:row>
    <x:row r="3">
      <x:c r="A3" s="3"/>
      <x:c r="B3" s="3"/>
      <x:c r="C3" s="3"/>
    </x:row>
    <x:row r="4" ht="28" customHeight="1">
      <x:c r="A4" s="21" t="str">
        <x:v>Metric</x:v>
      </x:c>
      <x:c r="B4" s="21" t="str">
        <x:v>Value</x:v>
      </x:c>
      <x:c r="C4" s="21" t="str">
        <x:v>Note</x:v>
      </x:c>
    </x:row>
    <x:row r="5" ht="18">
      <x:c r="A5" s="60" t="str">
        <x:v>Current page types</x:v>
      </x:c>
      <x:c r="B5" s="66" t="n">
        <x:f>COUNTIF('Grouping Matrix'!$D$5:$D$100,"Current*")</x:f>
        <x:v>0</x:v>
      </x:c>
      <x:c r="C5" s="60" t="str">
        <x:v>Includes current prototype/preview page types.</x:v>
      </x:c>
    </x:row>
    <x:row r="6" ht="18">
      <x:c r="A6" s="62" t="str">
        <x:v>Backlog pages/groups</x:v>
      </x:c>
      <x:c r="B6" s="67" t="n">
        <x:f>COUNTIF('Grouping Matrix'!$D$5:$D$100,"Backlog*")</x:f>
        <x:v>0</x:v>
      </x:c>
      <x:c r="C6" s="62" t="str">
        <x:v>Service details, FAQ, policies.</x:v>
      </x:c>
    </x:row>
    <x:row r="7" ht="36">
      <x:c r="A7" s="62" t="str">
        <x:v>Merged/removed</x:v>
      </x:c>
      <x:c r="B7" s="67" t="n">
        <x:f>COUNTIF('Grouping Matrix'!$I$5:$I$100,"DIHAPUS DENGAN ALASAN")</x:f>
        <x:v>1</x:v>
      </x:c>
      <x:c r="C7" s="62" t="str">
        <x:v>Thank You page merged into modal.</x:v>
      </x:c>
    </x:row>
    <x:row r="8" ht="36">
      <x:c r="A8" s="62" t="str">
        <x:v>Website-found additions</x:v>
      </x:c>
      <x:c r="B8" s="67" t="n">
        <x:f>COUNTIF('Grouping Matrix'!$I$5:$I$100,"DITEMUKAN DI WEBSITE TETAPI BELUM ADA DI DOKUMEN")</x:f>
        <x:v>3</x:v>
      </x:c>
      <x:c r="C8" s="62" t="str">
        <x:v>Profile Detail, RSS, API Contact.</x:v>
      </x:c>
    </x:row>
    <x:row r="9" ht="30" customHeight="1">
      <x:c r="A9" s="13"/>
      <x:c r="B9" s="14"/>
      <x:c r="C9" s="13"/>
    </x:row>
    <x:row r="10" ht="30" customHeight="1">
      <x:c r="A10" s="78" t="str">
        <x:v>Alignment control</x:v>
      </x:c>
      <x:c r="B10" s="76" t="str">
        <x:v>Current pages follow the English route segments implemented for both locales. Planned localized slugs are not current routes.</x:v>
      </x:c>
      <x:c r="C10" s="75"/>
      <x:c r="D10" s="75"/>
      <x:c r="E10" s="75"/>
      <x:c r="F10" s="75"/>
      <x:c r="G10" s="75"/>
      <x:c r="H10" s="75"/>
    </x:row>
    <x:row r="11" ht="30" customHeight="1">
      <x:c r="A11" s="75"/>
      <x:c r="B11" s="76"/>
      <x:c r="C11" s="75"/>
      <x:c r="D11" s="75"/>
      <x:c r="E11" s="75"/>
      <x:c r="F11" s="75"/>
      <x:c r="G11" s="75"/>
      <x:c r="H11" s="75"/>
    </x:row>
    <x:row r="12" ht="30" customHeight="1">
      <x:c r="A12" s="75"/>
      <x:c r="B12" s="76"/>
      <x:c r="C12" s="75"/>
      <x:c r="D12" s="75"/>
      <x:c r="E12" s="75"/>
      <x:c r="F12" s="75"/>
      <x:c r="G12" s="75"/>
      <x:c r="H12" s="75"/>
    </x:row>
  </x:sheetData>
  <x:mergeCells>
    <x:mergeCell ref="A1:C1"/>
    <x:mergeCell ref="A2:C3"/>
    <x:mergeCell ref="B10:H12"/>
  </x:mergeCells>
  <x:pageMargins left="0.7" right="0.7" top="0.75" bottom="0.75" header="0.3" footer="0.3"/>
  <x:tableParts count="1">
    <x:tablePart xmlns:r="http://schemas.openxmlformats.org/officeDocument/2006/relationships" r:id="Rc042204a19d744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6" hidden="0" customWidth="1"/>
    <x:col min="3" max="5" width="36" customWidth="1"/>
    <x:col min="6" max="6" width="18" hidden="0" customWidth="1"/>
    <x:col min="7" max="7" width="30" hidden="0" customWidth="1"/>
    <x:col min="8" max="8" width="28" hidden="0" customWidth="1"/>
    <x:col min="9" max="9" width="36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34" customHeight="1">
      <x:c r="A1" s="16" t="str">
        <x:v>Pengelompokan Informasi Menjadi Halaman - Aligned</x:v>
      </x:c>
      <x:c r="B1" s="16"/>
      <x:c r="C1" s="16"/>
      <x:c r="D1" s="16"/>
      <x:c r="E1" s="16"/>
      <x:c r="F1" s="16"/>
      <x:c r="G1" s="16"/>
      <x:c r="H1" s="16"/>
      <x:c r="I1" s="16"/>
    </x:row>
    <x:row r="2" ht="28" customHeight="1">
      <x:c r="A2" s="18" t="str">
        <x:v>Current implemented pages are separated from backlog, merged elements, and technical endpoints.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21" t="str">
        <x:v>ID</x:v>
      </x:c>
      <x:c r="B4" s="21" t="str">
        <x:v>Nama Halaman/Endpoint</x:v>
      </x:c>
      <x:c r="C4" s="21" t="str">
        <x:v>Kelompok Informasi</x:v>
      </x:c>
      <x:c r="D4" s="21" t="str">
        <x:v>Penempatan</x:v>
      </x:c>
      <x:c r="E4" s="21" t="str">
        <x:v>Alasan</x:v>
      </x:c>
      <x:c r="F4" s="21" t="str">
        <x:v>Target</x:v>
      </x:c>
      <x:c r="G4" s="21" t="str">
        <x:v>Kebutuhan</x:v>
      </x:c>
      <x:c r="H4" s="21" t="str">
        <x:v>Dasar/Sumber</x:v>
      </x:c>
      <x:c r="I4" s="21" t="str">
        <x:v>Keputusan</x:v>
      </x:c>
    </x:row>
    <x:row r="5" ht="23">
      <x:c r="A5" s="25" t="str">
        <x:v>C-01</x:v>
      </x:c>
      <x:c r="B5" s="25" t="str">
        <x:v>Home</x:v>
      </x:c>
      <x:c r="C5" s="25" t="str">
        <x:v>Brand, positioning, four categories, process, prototype proof, articles, CTA</x:v>
      </x:c>
      <x:c r="D5" s="25" t="str">
        <x:v>Current Home sections</x:v>
      </x:c>
      <x:c r="E5" s="25" t="str">
        <x:v>Implemented orientation and routing</x:v>
      </x:c>
      <x:c r="F5" s="25" t="str">
        <x:v>All</x:v>
      </x:c>
      <x:c r="G5" s="25" t="str">
        <x:v>Understand relevance and next action</x:v>
      </x:c>
      <x:c r="H5" s="25" t="str">
        <x:v>Website/codebase</x:v>
      </x:c>
      <x:c r="I5" s="28" t="str">
        <x:v>DIPERTAHANKAN</x:v>
      </x:c>
    </x:row>
    <x:row r="6" ht="23">
      <x:c r="A6" s="26" t="str">
        <x:v>C-02</x:v>
      </x:c>
      <x:c r="B6" s="26" t="str">
        <x:v>Profile</x:v>
      </x:c>
      <x:c r="C6" s="26" t="str">
        <x:v>Brand/operator identity, approach, gallery, team directory</x:v>
      </x:c>
      <x:c r="D6" s="26" t="str">
        <x:v>Current Profile</x:v>
      </x:c>
      <x:c r="E6" s="26" t="str">
        <x:v>Identity and credibility overview</x:v>
      </x:c>
      <x:c r="F6" s="26" t="str">
        <x:v>All</x:v>
      </x:c>
      <x:c r="G6" s="26" t="str">
        <x:v>Understand operator and approach</x:v>
      </x:c>
      <x:c r="H6" s="26" t="str">
        <x:v>Website/codebase + user decision</x:v>
      </x:c>
      <x:c r="I6" s="30" t="str">
        <x:v>DIPERBARUI</x:v>
      </x:c>
    </x:row>
    <x:row r="7">
      <x:c r="A7" s="26" t="str">
        <x:v>C-03</x:v>
      </x:c>
      <x:c r="B7" s="26" t="str">
        <x:v>Profile Detail</x:v>
      </x:c>
      <x:c r="C7" s="26" t="str">
        <x:v>Three high-fidelity dummy profiles</x:v>
      </x:c>
      <x:c r="D7" s="26" t="str">
        <x:v>Current dynamic detail routes</x:v>
      </x:c>
      <x:c r="E7" s="26" t="str">
        <x:v>Prototype team detail</x:v>
      </x:c>
      <x:c r="F7" s="26" t="str">
        <x:v>All</x:v>
      </x:c>
      <x:c r="G7" s="26" t="str">
        <x:v>Explore prototype team personas</x:v>
      </x:c>
      <x:c r="H7" s="26" t="str">
        <x:v>Website/codebase</x:v>
      </x:c>
      <x:c r="I7" s="30" t="str">
        <x:v>DITEMUKAN DI WEBSITE TETAPI BELUM ADA DI DOKUMEN</x:v>
      </x:c>
    </x:row>
    <x:row r="8" ht="23">
      <x:c r="A8" s="26" t="str">
        <x:v>C-04</x:v>
      </x:c>
      <x:c r="B8" s="26" t="str">
        <x:v>Services</x:v>
      </x:c>
      <x:c r="C8" s="26" t="str">
        <x:v>Four approved categories and provisional scope</x:v>
      </x:c>
      <x:c r="D8" s="26" t="str">
        <x:v>Current Services hub</x:v>
      </x:c>
      <x:c r="E8" s="26" t="str">
        <x:v>Service orientation</x:v>
      </x:c>
      <x:c r="F8" s="26" t="str">
        <x:v>Prospects</x:v>
      </x:c>
      <x:c r="G8" s="26" t="str">
        <x:v>Select a category</x:v>
      </x:c>
      <x:c r="H8" s="26" t="str">
        <x:v>Website/codebase</x:v>
      </x:c>
      <x:c r="I8" s="32" t="str">
        <x:v>DIPERTAHANKAN</x:v>
      </x:c>
    </x:row>
    <x:row r="9" ht="23">
      <x:c r="A9" s="26" t="str">
        <x:v>C-05</x:v>
      </x:c>
      <x:c r="B9" s="26" t="str">
        <x:v>Our Experiences</x:v>
      </x:c>
      <x:c r="C9" s="26" t="str">
        <x:v>Three dummy experience cards</x:v>
      </x:c>
      <x:c r="D9" s="26" t="str">
        <x:v>Current Projects page</x:v>
      </x:c>
      <x:c r="E9" s="26" t="str">
        <x:v>Prototype proof</x:v>
      </x:c>
      <x:c r="F9" s="26" t="str">
        <x:v>Prospects</x:v>
      </x:c>
      <x:c r="G9" s="26" t="str">
        <x:v>Review example structure</x:v>
      </x:c>
      <x:c r="H9" s="26" t="str">
        <x:v>Website/codebase</x:v>
      </x:c>
      <x:c r="I9" s="30" t="str">
        <x:v>DIPERBARUI</x:v>
      </x:c>
    </x:row>
    <x:row r="10" ht="23">
      <x:c r="A10" s="26" t="str">
        <x:v>C-06</x:v>
      </x:c>
      <x:c r="B10" s="26" t="str">
        <x:v>Blog</x:v>
      </x:c>
      <x:c r="C10" s="26" t="str">
        <x:v>Six preview articles and filters</x:v>
      </x:c>
      <x:c r="D10" s="26" t="str">
        <x:v>Current Blog hub</x:v>
      </x:c>
      <x:c r="E10" s="26" t="str">
        <x:v>Preview knowledge content</x:v>
      </x:c>
      <x:c r="F10" s="26" t="str">
        <x:v>Prospects</x:v>
      </x:c>
      <x:c r="G10" s="26" t="str">
        <x:v>Find an article</x:v>
      </x:c>
      <x:c r="H10" s="26" t="str">
        <x:v>Website/codebase</x:v>
      </x:c>
      <x:c r="I10" s="30" t="str">
        <x:v>DIPERBARUI</x:v>
      </x:c>
    </x:row>
    <x:row r="11" ht="23">
      <x:c r="A11" s="26" t="str">
        <x:v>C-07</x:v>
      </x:c>
      <x:c r="B11" s="26" t="str">
        <x:v>Article Detail</x:v>
      </x:c>
      <x:c r="C11" s="26" t="str">
        <x:v>Bilingual article content and related posts</x:v>
      </x:c>
      <x:c r="D11" s="26" t="str">
        <x:v>Current article routes</x:v>
      </x:c>
      <x:c r="E11" s="26" t="str">
        <x:v>Explain one topic</x:v>
      </x:c>
      <x:c r="F11" s="26" t="str">
        <x:v>Prospects</x:v>
      </x:c>
      <x:c r="G11" s="26" t="str">
        <x:v>Read and return/continue</x:v>
      </x:c>
      <x:c r="H11" s="26" t="str">
        <x:v>Website/codebase</x:v>
      </x:c>
      <x:c r="I11" s="32" t="str">
        <x:v>DIPERTAHANKAN</x:v>
      </x:c>
    </x:row>
    <x:row r="12" ht="23">
      <x:c r="A12" s="26" t="str">
        <x:v>C-08</x:v>
      </x:c>
      <x:c r="B12" s="26" t="str">
        <x:v>Contact</x:v>
      </x:c>
      <x:c r="C12" s="26" t="str">
        <x:v>Inquiry form, consent, Resend, fallbacks, success response</x:v>
      </x:c>
      <x:c r="D12" s="26" t="str">
        <x:v>Current Contact page</x:v>
      </x:c>
      <x:c r="E12" s="26" t="str">
        <x:v>Capture context</x:v>
      </x:c>
      <x:c r="F12" s="26" t="str">
        <x:v>Prospects</x:v>
      </x:c>
      <x:c r="G12" s="26" t="str">
        <x:v>Submit inquiry</x:v>
      </x:c>
      <x:c r="H12" s="26" t="str">
        <x:v>Website/codebase + user decision</x:v>
      </x:c>
      <x:c r="I12" s="30" t="str">
        <x:v>DIPERBARUI</x:v>
      </x:c>
    </x:row>
    <x:row r="13">
      <x:c r="A13" s="26" t="str">
        <x:v>B-01</x:v>
      </x:c>
      <x:c r="B13" s="26" t="str">
        <x:v>Service Detail x4</x:v>
      </x:c>
      <x:c r="C13" s="26" t="str">
        <x:v>Deliverable, exclusions, checklist, timeline</x:v>
      </x:c>
      <x:c r="D13" s="26" t="str">
        <x:v>Backlog</x:v>
      </x:c>
      <x:c r="E13" s="26" t="str">
        <x:v>Detailed service decision support</x:v>
      </x:c>
      <x:c r="F13" s="26" t="str">
        <x:v>Prospects</x:v>
      </x:c>
      <x:c r="G13" s="26" t="str">
        <x:v>Understand detailed scope</x:v>
      </x:c>
      <x:c r="H13" s="26" t="str">
        <x:v>Fase 2</x:v>
      </x:c>
      <x:c r="I13" s="34" t="str">
        <x:v>TIDAK DITEMUKAN DI WEBSITE</x:v>
      </x:c>
    </x:row>
    <x:row r="14">
      <x:c r="A14" s="26" t="str">
        <x:v>B-02</x:v>
      </x:c>
      <x:c r="B14" s="26" t="str">
        <x:v>FAQ</x:v>
      </x:c>
      <x:c r="C14" s="26" t="str">
        <x:v>Reviewed cross-service answers</x:v>
      </x:c>
      <x:c r="D14" s="26" t="str">
        <x:v>Backlog</x:v>
      </x:c>
      <x:c r="E14" s="26" t="str">
        <x:v>Resolve common questions</x:v>
      </x:c>
      <x:c r="F14" s="26" t="str">
        <x:v>Prospects</x:v>
      </x:c>
      <x:c r="G14" s="26" t="str">
        <x:v>Reduce uncertainty</x:v>
      </x:c>
      <x:c r="H14" s="26" t="str">
        <x:v>Fase 2</x:v>
      </x:c>
      <x:c r="I14" s="34" t="str">
        <x:v>TIDAK DITEMUKAN DI WEBSITE</x:v>
      </x:c>
    </x:row>
    <x:row r="15">
      <x:c r="A15" s="26" t="str">
        <x:v>B-03</x:v>
      </x:c>
      <x:c r="B15" s="26" t="str">
        <x:v>Privacy Policy</x:v>
      </x:c>
      <x:c r="C15" s="26" t="str">
        <x:v>Approved data processing notice</x:v>
      </x:c>
      <x:c r="D15" s="26" t="str">
        <x:v>Backlog / launch blocker</x:v>
      </x:c>
      <x:c r="E15" s="26" t="str">
        <x:v>Data governance</x:v>
      </x:c>
      <x:c r="F15" s="26" t="str">
        <x:v>All</x:v>
      </x:c>
      <x:c r="G15" s="26" t="str">
        <x:v>Understand data use</x:v>
      </x:c>
      <x:c r="H15" s="26" t="str">
        <x:v>Fase 2</x:v>
      </x:c>
      <x:c r="I15" s="34" t="str">
        <x:v>TIDAK DITEMUKAN DI WEBSITE</x:v>
      </x:c>
    </x:row>
    <x:row r="16" ht="23">
      <x:c r="A16" s="26" t="str">
        <x:v>B-04</x:v>
      </x:c>
      <x:c r="B16" s="26" t="str">
        <x:v>Terms &amp; Disclaimer</x:v>
      </x:c>
      <x:c r="C16" s="26" t="str">
        <x:v>Approved usage terms and boundaries</x:v>
      </x:c>
      <x:c r="D16" s="26" t="str">
        <x:v>Backlog / launch blocker</x:v>
      </x:c>
      <x:c r="E16" s="26" t="str">
        <x:v>Usage governance</x:v>
      </x:c>
      <x:c r="F16" s="26" t="str">
        <x:v>All</x:v>
      </x:c>
      <x:c r="G16" s="26" t="str">
        <x:v>Understand boundaries</x:v>
      </x:c>
      <x:c r="H16" s="26" t="str">
        <x:v>Fase 2</x:v>
      </x:c>
      <x:c r="I16" s="34" t="str">
        <x:v>TIDAK DITEMUKAN DI WEBSITE</x:v>
      </x:c>
    </x:row>
    <x:row r="17">
      <x:c r="A17" s="26" t="str">
        <x:v>M-01</x:v>
      </x:c>
      <x:c r="B17" s="26" t="str">
        <x:v>Thank You Page</x:v>
      </x:c>
      <x:c r="C17" s="26" t="str">
        <x:v>Post-submit confirmation</x:v>
      </x:c>
      <x:c r="D17" s="26" t="str">
        <x:v>Merged into target modal</x:v>
      </x:c>
      <x:c r="E17" s="26" t="str">
        <x:v>Submission feedback</x:v>
      </x:c>
      <x:c r="F17" s="26" t="str">
        <x:v>Prospects</x:v>
      </x:c>
      <x:c r="G17" s="26" t="str">
        <x:v>Acknowledge successful submit</x:v>
      </x:c>
      <x:c r="H17" s="26" t="str">
        <x:v>User decision 2026-08-05</x:v>
      </x:c>
      <x:c r="I17" s="34" t="str">
        <x:v>DIHAPUS DENGAN ALASAN</x:v>
      </x:c>
    </x:row>
    <x:row r="18">
      <x:c r="A18" s="26" t="str">
        <x:v>E-01</x:v>
      </x:c>
      <x:c r="B18" s="26" t="str">
        <x:v>RSS bilingual</x:v>
      </x:c>
      <x:c r="C18" s="26" t="str">
        <x:v>Article feeds</x:v>
      </x:c>
      <x:c r="D18" s="26" t="str">
        <x:v>Current endpoints</x:v>
      </x:c>
      <x:c r="E18" s="26" t="str">
        <x:v>Content discovery</x:v>
      </x:c>
      <x:c r="F18" s="26" t="str">
        <x:v>Search/readers</x:v>
      </x:c>
      <x:c r="G18" s="26" t="str">
        <x:v>Subscribe/discover</x:v>
      </x:c>
      <x:c r="H18" s="26" t="str">
        <x:v>Website/codebase</x:v>
      </x:c>
      <x:c r="I18" s="30" t="str">
        <x:v>DITEMUKAN DI WEBSITE TETAPI BELUM ADA DI DOKUMEN</x:v>
      </x:c>
    </x:row>
    <x:row r="19">
      <x:c r="A19" s="26" t="str">
        <x:v>E-02</x:v>
      </x:c>
      <x:c r="B19" s="26" t="str">
        <x:v>API Contact</x:v>
      </x:c>
      <x:c r="C19" s="26" t="str">
        <x:v>Server-side validation and Resend delivery</x:v>
      </x:c>
      <x:c r="D19" s="26" t="str">
        <x:v>Current endpoint</x:v>
      </x:c>
      <x:c r="E19" s="26" t="str">
        <x:v>Inquiry delivery</x:v>
      </x:c>
      <x:c r="F19" s="26" t="str">
        <x:v>Operations</x:v>
      </x:c>
      <x:c r="G19" s="26" t="str">
        <x:v>Receive inquiry</x:v>
      </x:c>
      <x:c r="H19" s="26" t="str">
        <x:v>Website/codebase</x:v>
      </x:c>
      <x:c r="I19" s="30" t="str">
        <x:v>DITEMUKAN DI WEBSITE TETAPI BELUM ADA DI DOKUMEN</x:v>
      </x:c>
    </x:row>
    <x:row r="20" ht="23">
      <x:c r="A20" s="7"/>
      <x:c r="B20" s="7"/>
      <x:c r="C20" s="7"/>
      <x:c r="D20" s="7"/>
      <x:c r="E20" s="7"/>
      <x:c r="F20" s="7"/>
      <x:c r="G20" s="7"/>
      <x:c r="H20" s="7"/>
      <x:c r="I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3">
      <x:c r="A24" s="7"/>
      <x:c r="B24" s="7"/>
      <x:c r="C24" s="7"/>
      <x:c r="D24" s="7"/>
      <x:c r="E24" s="7"/>
      <x:c r="F24" s="7"/>
      <x:c r="G24" s="7"/>
      <x:c r="H24" s="7"/>
      <x:c r="I24" s="7"/>
    </x:row>
  </x:sheetData>
  <x:mergeCells>
    <x:mergeCell ref="A1:I1"/>
    <x:mergeCell ref="A2:I3"/>
  </x:mergeCells>
  <x:dataValidations count="1">
    <x:dataValidation type="list" sqref="I5:I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bbffcab7e04b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28" hidden="0" customWidth="1"/>
    <x:col min="3" max="3" width="26" hidden="0" customWidth="1"/>
    <x:col min="4" max="4" width="28" hidden="0" customWidth="1"/>
    <x:col min="5" max="5" width="38" hidden="0" customWidth="1"/>
    <x:col min="6" max="6" width="52" hidden="0" customWidth="1"/>
  </x:cols>
  <x:sheetData>
    <x:row r="1" ht="34" customHeight="1">
      <x:c r="A1" s="16" t="str">
        <x:v>Current and Backlog Page List</x:v>
      </x:c>
      <x:c r="B1" s="16"/>
      <x:c r="C1" s="16"/>
      <x:c r="D1" s="36"/>
      <x:c r="E1" s="36"/>
      <x:c r="F1" s="36"/>
    </x:row>
    <x:row r="2" ht="28" customHeight="1">
      <x:c r="A2" s="18" t="str">
        <x:v>The former 20-page initial list is retained through explicit current/backlog decisions.</x:v>
      </x:c>
      <x:c r="B2" s="18"/>
      <x:c r="C2" s="18"/>
      <x:c r="D2" s="39"/>
      <x:c r="E2" s="39"/>
      <x:c r="F2" s="39"/>
    </x:row>
    <x:row r="3">
      <x:c r="A3" s="3"/>
      <x:c r="B3" s="3"/>
      <x:c r="C3" s="3"/>
    </x:row>
    <x:row r="4" ht="34" customHeight="1">
      <x:c r="A4" s="21" t="str">
        <x:v>ID</x:v>
      </x:c>
      <x:c r="B4" s="21" t="str">
        <x:v>Page/Endpoint</x:v>
      </x:c>
      <x:c r="C4" s="21" t="str">
        <x:v>Lifecycle</x:v>
      </x:c>
      <x:c r="D4" s="44" t="str">
        <x:v>Source</x:v>
      </x:c>
      <x:c r="E4" s="44" t="str">
        <x:v>Decision</x:v>
      </x:c>
      <x:c r="F4" s="44" t="str">
        <x:v>Notes</x:v>
      </x:c>
    </x:row>
    <x:row r="5" ht="23">
      <x:c r="A5" s="25" t="str">
        <x:v>C-01</x:v>
      </x:c>
      <x:c r="B5" s="25" t="str">
        <x:v>Home</x:v>
      </x:c>
      <x:c r="C5" s="25" t="str">
        <x:v>Current Home sections</x:v>
      </x:c>
      <x:c r="D5" s="25" t="str">
        <x:v>Website/codebase</x:v>
      </x:c>
      <x:c r="E5" s="28" t="str">
        <x:v>DIPERTAHANKAN</x:v>
      </x:c>
      <x:c r="F5" s="25" t="str">
        <x:v>Implemented orientation and routing</x:v>
      </x:c>
    </x:row>
    <x:row r="6">
      <x:c r="A6" s="26" t="str">
        <x:v>C-02</x:v>
      </x:c>
      <x:c r="B6" s="26" t="str">
        <x:v>Profile</x:v>
      </x:c>
      <x:c r="C6" s="26" t="str">
        <x:v>Current Profile</x:v>
      </x:c>
      <x:c r="D6" s="26" t="str">
        <x:v>Website/codebase + user decision</x:v>
      </x:c>
      <x:c r="E6" s="30" t="str">
        <x:v>DIPERBARUI</x:v>
      </x:c>
      <x:c r="F6" s="26" t="str">
        <x:v>Identity and credibility overview</x:v>
      </x:c>
    </x:row>
    <x:row r="7">
      <x:c r="A7" s="26" t="str">
        <x:v>C-03</x:v>
      </x:c>
      <x:c r="B7" s="26" t="str">
        <x:v>Profile Detail</x:v>
      </x:c>
      <x:c r="C7" s="26" t="str">
        <x:v>Current dynamic detail routes</x:v>
      </x:c>
      <x:c r="D7" s="26" t="str">
        <x:v>Website/codebase</x:v>
      </x:c>
      <x:c r="E7" s="30" t="str">
        <x:v>DITEMUKAN DI WEBSITE TETAPI BELUM ADA DI DOKUMEN</x:v>
      </x:c>
      <x:c r="F7" s="26" t="str">
        <x:v>Prototype team detail</x:v>
      </x:c>
    </x:row>
    <x:row r="8">
      <x:c r="A8" s="26" t="str">
        <x:v>C-04</x:v>
      </x:c>
      <x:c r="B8" s="26" t="str">
        <x:v>Services</x:v>
      </x:c>
      <x:c r="C8" s="26" t="str">
        <x:v>Current Services hub</x:v>
      </x:c>
      <x:c r="D8" s="26" t="str">
        <x:v>Website/codebase</x:v>
      </x:c>
      <x:c r="E8" s="32" t="str">
        <x:v>DIPERTAHANKAN</x:v>
      </x:c>
      <x:c r="F8" s="26" t="str">
        <x:v>Service orientation</x:v>
      </x:c>
    </x:row>
    <x:row r="9" ht="23">
      <x:c r="A9" s="26" t="str">
        <x:v>C-05</x:v>
      </x:c>
      <x:c r="B9" s="26" t="str">
        <x:v>Our Experiences</x:v>
      </x:c>
      <x:c r="C9" s="26" t="str">
        <x:v>Current Projects page</x:v>
      </x:c>
      <x:c r="D9" s="26" t="str">
        <x:v>Website/codebase</x:v>
      </x:c>
      <x:c r="E9" s="30" t="str">
        <x:v>DIPERBARUI</x:v>
      </x:c>
      <x:c r="F9" s="26" t="str">
        <x:v>Prototype proof</x:v>
      </x:c>
    </x:row>
    <x:row r="10" ht="23">
      <x:c r="A10" s="26" t="str">
        <x:v>C-06</x:v>
      </x:c>
      <x:c r="B10" s="26" t="str">
        <x:v>Blog</x:v>
      </x:c>
      <x:c r="C10" s="26" t="str">
        <x:v>Current Blog hub</x:v>
      </x:c>
      <x:c r="D10" s="26" t="str">
        <x:v>Website/codebase</x:v>
      </x:c>
      <x:c r="E10" s="30" t="str">
        <x:v>DIPERBARUI</x:v>
      </x:c>
      <x:c r="F10" s="26" t="str">
        <x:v>Preview knowledge content</x:v>
      </x:c>
    </x:row>
    <x:row r="11" ht="23">
      <x:c r="A11" s="26" t="str">
        <x:v>C-07</x:v>
      </x:c>
      <x:c r="B11" s="26" t="str">
        <x:v>Article Detail</x:v>
      </x:c>
      <x:c r="C11" s="26" t="str">
        <x:v>Current article routes</x:v>
      </x:c>
      <x:c r="D11" s="26" t="str">
        <x:v>Website/codebase</x:v>
      </x:c>
      <x:c r="E11" s="32" t="str">
        <x:v>DIPERTAHANKAN</x:v>
      </x:c>
      <x:c r="F11" s="26" t="str">
        <x:v>Explain one topic</x:v>
      </x:c>
    </x:row>
    <x:row r="12" ht="23">
      <x:c r="A12" s="26" t="str">
        <x:v>C-08</x:v>
      </x:c>
      <x:c r="B12" s="26" t="str">
        <x:v>Contact</x:v>
      </x:c>
      <x:c r="C12" s="26" t="str">
        <x:v>Current Contact page</x:v>
      </x:c>
      <x:c r="D12" s="26" t="str">
        <x:v>Website/codebase + user decision</x:v>
      </x:c>
      <x:c r="E12" s="30" t="str">
        <x:v>DIPERBARUI</x:v>
      </x:c>
      <x:c r="F12" s="26" t="str">
        <x:v>Capture context</x:v>
      </x:c>
    </x:row>
    <x:row r="13">
      <x:c r="A13" s="26" t="str">
        <x:v>B-01</x:v>
      </x:c>
      <x:c r="B13" s="26" t="str">
        <x:v>Service Detail x4</x:v>
      </x:c>
      <x:c r="C13" s="26" t="str">
        <x:v>Backlog</x:v>
      </x:c>
      <x:c r="D13" s="26" t="str">
        <x:v>Fase 2</x:v>
      </x:c>
      <x:c r="E13" s="34" t="str">
        <x:v>TIDAK DITEMUKAN DI WEBSITE</x:v>
      </x:c>
      <x:c r="F13" s="26" t="str">
        <x:v>Detailed service decision support</x:v>
      </x:c>
    </x:row>
    <x:row r="14">
      <x:c r="A14" s="26" t="str">
        <x:v>B-02</x:v>
      </x:c>
      <x:c r="B14" s="26" t="str">
        <x:v>FAQ</x:v>
      </x:c>
      <x:c r="C14" s="26" t="str">
        <x:v>Backlog</x:v>
      </x:c>
      <x:c r="D14" s="26" t="str">
        <x:v>Fase 2</x:v>
      </x:c>
      <x:c r="E14" s="34" t="str">
        <x:v>TIDAK DITEMUKAN DI WEBSITE</x:v>
      </x:c>
      <x:c r="F14" s="26" t="str">
        <x:v>Resolve common questions</x:v>
      </x:c>
    </x:row>
    <x:row r="15">
      <x:c r="A15" s="26" t="str">
        <x:v>B-03</x:v>
      </x:c>
      <x:c r="B15" s="26" t="str">
        <x:v>Privacy Policy</x:v>
      </x:c>
      <x:c r="C15" s="26" t="str">
        <x:v>Backlog / launch blocker</x:v>
      </x:c>
      <x:c r="D15" s="26" t="str">
        <x:v>Fase 2</x:v>
      </x:c>
      <x:c r="E15" s="34" t="str">
        <x:v>TIDAK DITEMUKAN DI WEBSITE</x:v>
      </x:c>
      <x:c r="F15" s="26" t="str">
        <x:v>Data governance</x:v>
      </x:c>
    </x:row>
    <x:row r="16">
      <x:c r="A16" s="26" t="str">
        <x:v>B-04</x:v>
      </x:c>
      <x:c r="B16" s="26" t="str">
        <x:v>Terms &amp; Disclaimer</x:v>
      </x:c>
      <x:c r="C16" s="26" t="str">
        <x:v>Backlog / launch blocker</x:v>
      </x:c>
      <x:c r="D16" s="26" t="str">
        <x:v>Fase 2</x:v>
      </x:c>
      <x:c r="E16" s="34" t="str">
        <x:v>TIDAK DITEMUKAN DI WEBSITE</x:v>
      </x:c>
      <x:c r="F16" s="26" t="str">
        <x:v>Usage governance</x:v>
      </x:c>
    </x:row>
    <x:row r="17">
      <x:c r="A17" s="26" t="str">
        <x:v>M-01</x:v>
      </x:c>
      <x:c r="B17" s="26" t="str">
        <x:v>Thank You Page</x:v>
      </x:c>
      <x:c r="C17" s="26" t="str">
        <x:v>Merged into target modal</x:v>
      </x:c>
      <x:c r="D17" s="26" t="str">
        <x:v>User decision 2026-08-05</x:v>
      </x:c>
      <x:c r="E17" s="34" t="str">
        <x:v>DIHAPUS DENGAN ALASAN</x:v>
      </x:c>
      <x:c r="F17" s="26" t="str">
        <x:v>Submission feedback</x:v>
      </x:c>
    </x:row>
    <x:row r="18">
      <x:c r="A18" s="26" t="str">
        <x:v>E-01</x:v>
      </x:c>
      <x:c r="B18" s="26" t="str">
        <x:v>RSS bilingual</x:v>
      </x:c>
      <x:c r="C18" s="26" t="str">
        <x:v>Current endpoints</x:v>
      </x:c>
      <x:c r="D18" s="26" t="str">
        <x:v>Website/codebase</x:v>
      </x:c>
      <x:c r="E18" s="30" t="str">
        <x:v>DITEMUKAN DI WEBSITE TETAPI BELUM ADA DI DOKUMEN</x:v>
      </x:c>
      <x:c r="F18" s="26" t="str">
        <x:v>Content discovery</x:v>
      </x:c>
    </x:row>
    <x:row r="19">
      <x:c r="A19" s="26" t="str">
        <x:v>E-02</x:v>
      </x:c>
      <x:c r="B19" s="26" t="str">
        <x:v>API Contact</x:v>
      </x:c>
      <x:c r="C19" s="26" t="str">
        <x:v>Current endpoint</x:v>
      </x:c>
      <x:c r="D19" s="26" t="str">
        <x:v>Website/codebase</x:v>
      </x:c>
      <x:c r="E19" s="30" t="str">
        <x:v>DITEMUKAN DI WEBSITE TETAPI BELUM ADA DI DOKUMEN</x:v>
      </x:c>
      <x:c r="F19" s="26" t="str">
        <x:v>Inquiry delivery</x:v>
      </x:c>
    </x:row>
    <x:row r="20" ht="23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8"/>
      <x:c r="B25" s="8"/>
      <x:c r="C25" s="8"/>
    </x:row>
  </x:sheetData>
  <x:mergeCells>
    <x:mergeCell ref="A1:C1"/>
    <x:mergeCell ref="A2:C3"/>
  </x:mergeCells>
  <x:dataValidations count="1">
    <x:dataValidation type="list" sqref="E5:E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b64f6152ee4a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16" t="str">
        <x:v>Source Notes</x:v>
      </x:c>
      <x:c r="B1" s="16"/>
      <x:c r="C1" s="36"/>
      <x:c r="D1" s="36"/>
      <x:c r="E1" s="2"/>
      <x:c r="F1" s="2"/>
    </x:row>
    <x:row r="2" ht="28" customHeight="1">
      <x:c r="A2" s="18" t="str">
        <x:v>Source hierarchy and traceability for the aligned page grouping.</x:v>
      </x:c>
      <x:c r="B2" s="18"/>
      <x:c r="C2" s="39"/>
      <x:c r="D2" s="39"/>
      <x:c r="E2" s="4"/>
      <x:c r="F2" s="4"/>
    </x:row>
    <x:row r="3">
      <x:c r="A3" s="3"/>
      <x:c r="B3" s="3"/>
      <x:c r="C3" s="5"/>
      <x:c r="D3" s="5"/>
      <x:c r="E3" s="5"/>
      <x:c r="F3" s="5"/>
    </x:row>
    <x:row r="4" ht="34" customHeight="1">
      <x:c r="A4" s="21" t="str">
        <x:v>Source</x:v>
      </x:c>
      <x:c r="B4" s="21" t="str">
        <x:v>Priority</x:v>
      </x:c>
      <x:c r="C4" s="44" t="str">
        <x:v>Function</x:v>
      </x:c>
      <x:c r="D4" s="44" t="str">
        <x:v>Location</x:v>
      </x:c>
    </x:row>
    <x:row r="5" ht="46">
      <x:c r="A5" s="60" t="str">
        <x:v>Website/codebase aktual</x:v>
      </x:c>
      <x:c r="B5" s="60" t="str">
        <x:v>Primary</x:v>
      </x:c>
      <x:c r="C5" s="60" t="str">
        <x:v>Implemented route, page structure, navigation, CTA, user flow, feature, and technical behavior.</x:v>
      </x:c>
      <x:c r="D5" s="60" t="str">
        <x:v>C:\Users\Joshua\OneDrive\Documents\Law\outputs\galdino_partner\website</x:v>
      </x:c>
    </x:row>
    <x:row r="6" ht="34.5">
      <x:c r="A6" s="62" t="str">
        <x:v>Dokumen Fase 2 terbaru</x:v>
      </x:c>
      <x:c r="B6" s="62" t="str">
        <x:v>Secondary</x:v>
      </x:c>
      <x:c r="C6" s="62" t="str">
        <x:v>Architecture and decisions; unimplemented elements are retained as backlog.</x:v>
      </x:c>
      <x:c r="D6" s="62" t="str">
        <x:v>C:\Users\Joshua\OneDrive\Documents\Law\outputs\galdino_partner\plan\FASE 2</x:v>
      </x:c>
    </x:row>
    <x:row r="7" ht="34.5">
      <x:c r="A7" s="62" t="str">
        <x:v>Dokumen Fase 1</x:v>
      </x:c>
      <x:c r="B7" s="62" t="str">
        <x:v>Tertiary</x:v>
      </x:c>
      <x:c r="C7" s="62" t="str">
        <x:v>Discovery, business facts, brand foundation, user needs, and project context.</x:v>
      </x:c>
      <x:c r="D7" s="62" t="str">
        <x:v>C:\Users\Joshua\OneDrive\Documents\Law\outputs\galdino_partner\plan\FASE 1</x:v>
      </x:c>
    </x:row>
    <x:row r="8" ht="34.5">
      <x:c r="A8" s="62" t="str">
        <x:v>Brand Guidelines dan audit pendukung</x:v>
      </x:c>
      <x:c r="B8" s="62" t="str">
        <x:v>Supporting</x:v>
      </x:c>
      <x:c r="C8" s="62" t="str">
        <x:v>Reference only; cannot create claims or expand approved scope.</x:v>
      </x:c>
      <x:c r="D8" s="62" t="str">
        <x:v>C:\Users\Joshua\OneDrive\Documents\Law\outputs\galdino_partner\brand</x:v>
      </x:c>
    </x:row>
    <x:row r="9" ht="23">
      <x:c r="A9" s="62" t="str">
        <x:v>Keputusan pengguna 5 Agustus 2026</x:v>
      </x:c>
      <x:c r="B9" s="62" t="str">
        <x:v>Approval</x:v>
      </x:c>
      <x:c r="C9" s="62" t="str">
        <x:v>Eleven explicit decisions controlling current/backlog, legal identity, prototype content, domain, inquiry, and governance.</x:v>
      </x:c>
      <x:c r="D9" s="62" t="str">
        <x:v>Current Codex task</x:v>
      </x:c>
    </x:row>
  </x:sheetData>
  <x:mergeCells>
    <x:mergeCell ref="A1:B1"/>
    <x:mergeCell ref="A2:B3"/>
  </x:mergeCells>
  <x:pageMargins left="0.7" right="0.7" top="0.75" bottom="0.75" header="0.3" footer="0.3"/>
  <x:tableParts count="1">
    <x:tablePart xmlns:r="http://schemas.openxmlformats.org/officeDocument/2006/relationships" r:id="R14cb2109146742fc"/>
  </x:tableParts>
</x:worksheet>
</file>