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81ec90773a40ef" /></Relationships>
</file>

<file path=xl/workbook.xml><?xml version="1.0" encoding="utf-8"?>
<x:workbook xmlns:x="http://schemas.openxmlformats.org/spreadsheetml/2006/main">
  <x:sheets>
    <x:sheet xmlns:r="http://schemas.openxmlformats.org/officeDocument/2006/relationships" name="00_Dashboard" sheetId="1" r:id="Raf8dcdf0bf2749a2"/>
    <x:sheet xmlns:r="http://schemas.openxmlformats.org/officeDocument/2006/relationships" name="01_GLOBAL" sheetId="2" r:id="R1565ba8066ca4930"/>
    <x:sheet xmlns:r="http://schemas.openxmlformats.org/officeDocument/2006/relationships" name="02_Page_Questions" sheetId="3" r:id="R2b3d5754d0f64aae"/>
    <x:sheet xmlns:r="http://schemas.openxmlformats.org/officeDocument/2006/relationships" name="03_Content_ID" sheetId="4" r:id="Rc5bf5fd8a5294804"/>
    <x:sheet xmlns:r="http://schemas.openxmlformats.org/officeDocument/2006/relationships" name="04_Content_EN" sheetId="5" r:id="Re79fba9b9d784aed"/>
    <x:sheet xmlns:r="http://schemas.openxmlformats.org/officeDocument/2006/relationships" name="05_Proof_Placeholders" sheetId="6" r:id="R70cb6ff522564d59"/>
    <x:sheet xmlns:r="http://schemas.openxmlformats.org/officeDocument/2006/relationships" name="06_Positioning_Tone_QA" sheetId="7" r:id="R3a7cf146bd624d02"/>
    <x:sheet xmlns:r="http://schemas.openxmlformats.org/officeDocument/2006/relationships" name="07_Approval_Actions" sheetId="8" r:id="Rc0f380a3c96e4bae"/>
    <x:sheet xmlns:r="http://schemas.openxmlformats.org/officeDocument/2006/relationships" name="08_Source_Notes" sheetId="9" r:id="R9734c9e333334c21"/>
    <x:sheet xmlns:r="http://schemas.openxmlformats.org/officeDocument/2006/relationships" name="09_Page_Section_Mapping" sheetId="10" r:id="R861354e515a94b82"/>
    <x:sheet xmlns:r="http://schemas.openxmlformats.org/officeDocument/2006/relationships" name="10_Asset_Register" sheetId="11" r:id="Re524d326fdc64204"/>
    <x:sheet xmlns:r="http://schemas.openxmlformats.org/officeDocument/2006/relationships" name="11_Reference_Register" sheetId="12" r:id="R5936f66a27df4bf6"/>
    <x:sheet xmlns:r="http://schemas.openxmlformats.org/officeDocument/2006/relationships" name="12_Mapping_QA" sheetId="13" r:id="R5b6205bb012a4a9c"/>
  </x:sheets>
</x:workbook>
</file>

<file path=xl/sharedStrings.xml><?xml version="1.0" encoding="utf-8"?>
<x:sst xmlns:x="http://schemas.openxmlformats.org/spreadsheetml/2006/main">
  <x:si>
    <x:t xml:space="preserve">FASE 2 — WEBSITE CONTENT SHEET / EXECUTIVE DASHBOARD</x:t>
  </x:si>
  <x:si>
    <x:t xml:space="preserve">HALAMAN DALAM PLAN</x:t>
  </x:si>
  <x:si>
    <x:t xml:space="preserve">CONTENT BLOCKS</x:t>
  </x:si>
  <x:si>
    <x:t xml:space="preserve">READY FOR APPROVAL</x:t>
  </x:si>
  <x:si>
    <x:t xml:space="preserve">CRITICAL ACTIONS</x:t>
  </x:si>
  <x:si>
    <x:t xml:space="preserve">Includes GLOBAL and backlog questions</x:t>
  </x:si>
  <x:si>
    <x:t xml:space="preserve">7</x:t>
  </x:si>
  <x:si>
    <x:t xml:space="preserve">44 structured blocks per language</x:t>
  </x:si>
  <x:si>
    <x:t xml:space="preserve">Blocks marked READY FOR CONTENT APPROVAL</x:t>
  </x:si>
  <x:si>
    <x:t xml:space="preserve">Critical priority, regardless of current status</x:t>
  </x:si>
  <x:si>
    <x:t xml:space="preserve">WHAT IS COMPLETE</x:t>
  </x:si>
  <x:si>
    <x:t xml:space="preserve">NON-NEGOTIABLE PUBLICATION GATES</x:t>
  </x:si>
  <x:si>
    <x:t xml:space="preserve">• GLOBAL copy written once: navigation, CTA, footer, disclaimer, form states, modal, metadata.
• One primary question and supporting questions defined for every current and backlog page.
• Direct Indonesian final copy plus natural English equivalent for 44 content blocks.
• Headline, body, supporting points, evidence, CTA, destination, status, dependency, and review state included.
• Positioning, tone, claim discipline, and bilingual quality reviewed per page.</x:t>
  </x:si>
  <x:si>
    <x:t xml:space="preserve">• Approve public GP phone, email, WhatsApp, and full address.
• Verify registration number and acquire the target domain.
• Replace/remove dummy team, cases, statistics, client marks, and testimonials.
• Review or exclude all preview articles.
• Approve Privacy Policy, consent text, and Terms &amp; Disclaimer.
• Implement Thank You modal and prevent indexing of prototype content.</x:t>
  </x:si>
  <x:si>
    <x:t xml:space="preserve">CONTENT STATUS SUMMARY</x:t>
  </x:si>
  <x:si>
    <x:t xml:space="preserve">Metric</x:t>
  </x:si>
  <x:si>
    <x:t xml:space="preserve">Count</x:t>
  </x:si>
  <x:si>
    <x:t xml:space="preserve">Value</x:t>
  </x:si>
  <x:si>
    <x:t xml:space="preserve">Interpretation</x:t>
  </x:si>
  <x:si>
    <x:t xml:space="preserve">Current/core page questions</x:t>
  </x:si>
  <x:si>
    <x:t xml:space="preserve">Average QA score</x:t>
  </x:si>
  <x:si>
    <x:t xml:space="preserve">Message quality before publication readiness</x:t>
  </x:si>
  <x:si>
    <x:t xml:space="preserve">Prototype/preview page questions</x:t>
  </x:si>
  <x:si>
    <x:t xml:space="preserve">Review-ready blocks</x:t>
  </x:si>
  <x:si>
    <x:t xml:space="preserve">Backlog/launch-blocker questions</x:t>
  </x:si>
  <x:si>
    <x:t xml:space="preserve">Blocked / gated blocks</x:t>
  </x:si>
  <x:si>
    <x:t xml:space="preserve">Requires evidence, data, legal review, or implementation</x:t>
  </x:si>
  <x:si>
    <x:t xml:space="preserve">Blocked content blocks</x:t>
  </x:si>
  <x:si>
    <x:t xml:space="preserve">Open actions</x:t>
  </x:si>
  <x:si>
    <x:t xml:space="preserve">Status is not DONE/REMOVED</x:t>
  </x:si>
  <x:si>
    <x:t xml:space="preserve">Page</x:t>
  </x:si>
  <x:si>
    <x:t xml:space="preserve">Average QA</x:t>
  </x:si>
  <x:si>
    <x:t xml:space="preserve">GLOBAL</x:t>
  </x:si>
  <x:si>
    <x:t xml:space="preserve">Home</x:t>
  </x:si>
  <x:si>
    <x:t xml:space="preserve">Profile</x:t>
  </x:si>
  <x:si>
    <x:t xml:space="preserve">Profile Detail</x:t>
  </x:si>
  <x:si>
    <x:t xml:space="preserve">Services</x:t>
  </x:si>
  <x:si>
    <x:t xml:space="preserve">Our Experiences</x:t>
  </x:si>
  <x:si>
    <x:t xml:space="preserve">Blog</x:t>
  </x:si>
  <x:si>
    <x:t xml:space="preserve">Article Detail</x:t>
  </x:si>
  <x:si>
    <x:t xml:space="preserve">Contact</x:t>
  </x:si>
  <x:si>
    <x:t xml:space="preserve">Service Details</x:t>
  </x:si>
  <x:si>
    <x:t xml:space="preserve">FAQ</x:t>
  </x:si>
  <x:si>
    <x:t xml:space="preserve">Privacy Policy</x:t>
  </x:si>
  <x:si>
    <x:t xml:space="preserve">Terms &amp; Disclaimer</x:t>
  </x:si>
  <x:si>
    <x:t xml:space="preserve">WORKBOOK MAP</x:t>
  </x:si>
  <x:si>
    <x:t xml:space="preserve">Sheet</x:t>
  </x:si>
  <x:si>
    <x:t xml:space="preserve">Activity / Output</x:t>
  </x:si>
  <x:si>
    <x:t xml:space="preserve">Use</x:t>
  </x:si>
  <x:si>
    <x:t xml:space="preserve">01_GLOBAL</x:t>
  </x:si>
  <x:si>
    <x:t xml:space="preserve">Global copy once</x:t>
  </x:si>
  <x:si>
    <x:t xml:space="preserve">Navigation, CTA, footer, disclaimer, form, modal, metadata, labels</x:t>
  </x:si>
  <x:si>
    <x:t xml:space="preserve">02_Page_Questions</x:t>
  </x:si>
  <x:si>
    <x:t xml:space="preserve">Questions per page</x:t>
  </x:si>
  <x:si>
    <x:t xml:space="preserve">Primary and supporting questions, answerability, publication note</x:t>
  </x:si>
  <x:si>
    <x:t xml:space="preserve">03_Content_ID</x:t>
  </x:si>
  <x:si>
    <x:t xml:space="preserve">Final Indonesian copy</x:t>
  </x:si>
  <x:si>
    <x:t xml:space="preserve">Headline, body, supporting points, evidence, CTA, status, dependency</x:t>
  </x:si>
  <x:si>
    <x:t xml:space="preserve">04_Content_EN</x:t>
  </x:si>
  <x:si>
    <x:t xml:space="preserve">Final English copy</x:t>
  </x:si>
  <x:si>
    <x:t xml:space="preserve">Natural equivalent; official Indonesian terms retained where needed</x:t>
  </x:si>
  <x:si>
    <x:t xml:space="preserve">05_Proof_Placeholders</x:t>
  </x:si>
  <x:si>
    <x:t xml:space="preserve">Evidence control</x:t>
  </x:si>
  <x:si>
    <x:t xml:space="preserve">Confirmed, pending, dummy, consent-required, do-not-publish, launch gates</x:t>
  </x:si>
  <x:si>
    <x:t xml:space="preserve">06_Positioning_Tone_QA</x:t>
  </x:si>
  <x:si>
    <x:t xml:space="preserve">Message QA</x:t>
  </x:si>
  <x:si>
    <x:t xml:space="preserve">Positioning, tone, clarity, evidence, CTA, bilingual, readiness scores</x:t>
  </x:si>
  <x:si>
    <x:t xml:space="preserve">07_Approval_Actions</x:t>
  </x:si>
  <x:si>
    <x:t xml:space="preserve">Execution actions</x:t>
  </x:si>
  <x:si>
    <x:t xml:space="preserve">Owner, priority, status, launch impact, reference</x:t>
  </x:si>
  <x:si>
    <x:t xml:space="preserve">08_Source_Notes</x:t>
  </x:si>
  <x:si>
    <x:t xml:space="preserve">Source governance</x:t>
  </x:si>
  <x:si>
    <x:t xml:space="preserve">Source hierarchy and application rules</x:t>
  </x:si>
  <x:si>
    <x:t xml:space="preserve">FASE 2 — GLOBAL WEBSITE COPY</x:t>
  </x:si>
  <x:si>
    <x:t xml:space="preserve">Global copy ditulis satu kali di tab ini. Halaman lain menggunakan referensi GLOBAL untuk navigasi, CTA, footer, legal disclaimer, form, modal, metadata, dan status labels.</x:t>
  </x:si>
  <x:si>
    <x:t xml:space="preserve">Status dokumen: FINAL DRAFT UNTUK CONTENT APPROVAL — placeholder, preview, dan blocker tetap dibatasi sesuai governance.</x:t>
  </x:si>
  <x:si>
    <x:t xml:space="preserve">ID</x:t>
  </x:si>
  <x:si>
    <x:t xml:space="preserve">Category</x:t>
  </x:si>
  <x:si>
    <x:t xml:space="preserve">Element</x:t>
  </x:si>
  <x:si>
    <x:t xml:space="preserve">Indonesian Copy</x:t>
  </x:si>
  <x:si>
    <x:t xml:space="preserve">English Copy</x:t>
  </x:si>
  <x:si>
    <x:t xml:space="preserve">Usage / Location</x:t>
  </x:si>
  <x:si>
    <x:t xml:space="preserve">Destination / Behavior</x:t>
  </x:si>
  <x:si>
    <x:t xml:space="preserve">Publication Status</x:t>
  </x:si>
  <x:si>
    <x:t xml:space="preserve">Dependency / Placeholder</x:t>
  </x:si>
  <x:si>
    <x:t xml:space="preserve">Source Basis</x:t>
  </x:si>
  <x:si>
    <x:t xml:space="preserve">G-001</x:t>
  </x:si>
  <x:si>
    <x:t xml:space="preserve">Brand</x:t>
  </x:si>
  <x:si>
    <x:t xml:space="preserve">Display name</x:t>
  </x:si>
  <x:si>
    <x:t xml:space="preserve">Galdino &amp; Partner</x:t>
  </x:si>
  <x:si>
    <x:t xml:space="preserve">Header, footer, metadata</x:t>
  </x:si>
  <x:si>
    <x:t xml:space="preserve">—</x:t>
  </x:si>
  <x:si>
    <x:t xml:space="preserve">FINAL – FAKTA TERKONFIRMASI</x:t>
  </x:si>
  <x:si>
    <x:t xml:space="preserve">Brand Guidelines; Master Alignment</x:t>
  </x:si>
  <x:si>
    <x:t xml:space="preserve">G-002</x:t>
  </x:si>
  <x:si>
    <x:t xml:space="preserve">Descriptor</x:t>
  </x:si>
  <x:si>
    <x:t xml:space="preserve">Galdino &amp; Partner by Kultivate</x:t>
  </x:si>
  <x:si>
    <x:t xml:space="preserve">Footer, Profile, legal identity</x:t>
  </x:si>
  <x:si>
    <x:t xml:space="preserve">G-003</x:t>
  </x:si>
  <x:si>
    <x:t xml:space="preserve">Navigation</x:t>
  </x:si>
  <x:si>
    <x:t xml:space="preserve">Header &amp; mobile navigation</x:t>
  </x:si>
  <x:si>
    <x:t xml:space="preserve">/id/ | /en/</x:t>
  </x:si>
  <x:si>
    <x:t xml:space="preserve">FINAL</x:t>
  </x:si>
  <x:si>
    <x:t xml:space="preserve">Current website baseline</x:t>
  </x:si>
  <x:si>
    <x:t xml:space="preserve">G-004</x:t>
  </x:si>
  <x:si>
    <x:t xml:space="preserve">/[lang]/profile/</x:t>
  </x:si>
  <x:si>
    <x:t xml:space="preserve">G-005</x:t>
  </x:si>
  <x:si>
    <x:t xml:space="preserve">/[lang]/services/</x:t>
  </x:si>
  <x:si>
    <x:t xml:space="preserve">G-006</x:t>
  </x:si>
  <x:si>
    <x:t xml:space="preserve">/[lang]/projects/</x:t>
  </x:si>
  <x:si>
    <x:t xml:space="preserve">FINAL – SECTION PROTOTYPE</x:t>
  </x:si>
  <x:si>
    <x:t xml:space="preserve">Case content must be approved or removed before launch</x:t>
  </x:si>
  <x:si>
    <x:t xml:space="preserve">G-007</x:t>
  </x:si>
  <x:si>
    <x:t xml:space="preserve">Insights</x:t>
  </x:si>
  <x:si>
    <x:t xml:space="preserve">/[lang]/blog/</x:t>
  </x:si>
  <x:si>
    <x:t xml:space="preserve">FINAL – PAGE PREVIEW</x:t>
  </x:si>
  <x:si>
    <x:t xml:space="preserve">Articles require legal/editorial review</x:t>
  </x:si>
  <x:si>
    <x:t xml:space="preserve">G-008</x:t>
  </x:si>
  <x:si>
    <x:t xml:space="preserve">Kontak</x:t>
  </x:si>
  <x:si>
    <x:t xml:space="preserve">/[lang]/contact/</x:t>
  </x:si>
  <x:si>
    <x:t xml:space="preserve">G-009</x:t>
  </x:si>
  <x:si>
    <x:t xml:space="preserve">CTA</x:t>
  </x:si>
  <x:si>
    <x:t xml:space="preserve">Primary CTA</x:t>
  </x:si>
  <x:si>
    <x:t xml:space="preserve">Ajukan Konsultasi</x:t>
  </x:si>
  <x:si>
    <x:t xml:space="preserve">Request a Consultation</x:t>
  </x:si>
  <x:si>
    <x:t xml:space="preserve">Header, page-ending CTA</x:t>
  </x:si>
  <x:si>
    <x:t xml:space="preserve">RECOMMENDED FINAL – MENUNGGU APPROVAL</x:t>
  </x:si>
  <x:si>
    <x:t xml:space="preserve">Replace current label “Jadwalkan Konsultasi”; the current destination is an inquiry form, not an integrated calendar</x:t>
  </x:si>
  <x:si>
    <x:t xml:space="preserve">Routing audit + message QA</x:t>
  </x:si>
  <x:si>
    <x:t xml:space="preserve">G-010</x:t>
  </x:si>
  <x:si>
    <x:t xml:space="preserve">Secondary CTA</x:t>
  </x:si>
  <x:si>
    <x:t xml:space="preserve">Lihat Layanan</x:t>
  </x:si>
  <x:si>
    <x:t xml:space="preserve">Explore Services</x:t>
  </x:si>
  <x:si>
    <x:t xml:space="preserve">Home hero and contextual sections</x:t>
  </x:si>
  <x:si>
    <x:t xml:space="preserve">Current routing</x:t>
  </x:si>
  <x:si>
    <x:t xml:space="preserve">G-011</x:t>
  </x:si>
  <x:si>
    <x:t xml:space="preserve">Contact submit</x:t>
  </x:si>
  <x:si>
    <x:t xml:space="preserve">Kirim Permintaan</x:t>
  </x:si>
  <x:si>
    <x:t xml:space="preserve">Submit Inquiry</x:t>
  </x:si>
  <x:si>
    <x:t xml:space="preserve">Contact form</x:t>
  </x:si>
  <x:si>
    <x:t xml:space="preserve">Submit to /api/contact</x:t>
  </x:si>
  <x:si>
    <x:t xml:space="preserve">Current inquiry flow</x:t>
  </x:si>
  <x:si>
    <x:t xml:space="preserve">G-012</x:t>
  </x:si>
  <x:si>
    <x:t xml:space="preserve">Read article</x:t>
  </x:si>
  <x:si>
    <x:t xml:space="preserve">Baca Artikel</x:t>
  </x:si>
  <x:si>
    <x:t xml:space="preserve">Read Article</x:t>
  </x:si>
  <x:si>
    <x:t xml:space="preserve">Blog cards</x:t>
  </x:si>
  <x:si>
    <x:t xml:space="preserve">Article detail</x:t>
  </x:si>
  <x:si>
    <x:t xml:space="preserve">FINAL – PREVIEW ONLY</x:t>
  </x:si>
  <x:si>
    <x:t xml:space="preserve">Article must be reviewed before launch</x:t>
  </x:si>
  <x:si>
    <x:t xml:space="preserve">G-013</x:t>
  </x:si>
  <x:si>
    <x:t xml:space="preserve">Back link</x:t>
  </x:si>
  <x:si>
    <x:t xml:space="preserve">Kembali</x:t>
  </x:si>
  <x:si>
    <x:t xml:space="preserve">Back</x:t>
  </x:si>
  <x:si>
    <x:t xml:space="preserve">Profile/article detail</x:t>
  </x:si>
  <x:si>
    <x:t xml:space="preserve">Previous listing page</x:t>
  </x:si>
  <x:si>
    <x:t xml:space="preserve">Usability convention</x:t>
  </x:si>
  <x:si>
    <x:t xml:space="preserve">G-014</x:t>
  </x:si>
  <x:si>
    <x:t xml:space="preserve">Footer</x:t>
  </x:si>
  <x:si>
    <x:t xml:space="preserve">Short brand statement</x:t>
  </x:si>
  <x:si>
    <x:t xml:space="preserve">Membantu bisnis memetakan persyaratan, menyiapkan dokumen, dan menavigasi proses perizinan di Indonesia.</x:t>
  </x:si>
  <x:si>
    <x:t xml:space="preserve">Helping businesses map requirements, prepare documents, and navigate licensing processes in Indonesia.</x:t>
  </x:si>
  <x:si>
    <x:t xml:space="preserve">Core promise</x:t>
  </x:si>
  <x:si>
    <x:t xml:space="preserve">G-015</x:t>
  </x:si>
  <x:si>
    <x:t xml:space="preserve">Legal operator</x:t>
  </x:si>
  <x:si>
    <x:t xml:space="preserve">Galdino &amp; Partner adalah brand yang dioperasikan oleh PT Karya Usaha Sukses, perseroan terbatas yang berdiri sejak 2015 dan berkedudukan di Kota Tangerang, Banten, Indonesia.</x:t>
  </x:si>
  <x:si>
    <x:t xml:space="preserve">Galdino &amp; Partner is a brand operated by PT Karya Usaha Sukses, a limited liability company established in 2015 and domiciled in Kota Tangerang, Banten, Indonesia.</x:t>
  </x:si>
  <x:si>
    <x:t xml:space="preserve">Footer, Profile, legal notice</x:t>
  </x:si>
  <x:si>
    <x:t xml:space="preserve">Nomor registrasi tidak ditampilkan sampai diverifikasi</x:t>
  </x:si>
  <x:si>
    <x:t xml:space="preserve">Master Alignment; Discovery</x:t>
  </x:si>
  <x:si>
    <x:t xml:space="preserve">G-016</x:t>
  </x:si>
  <x:si>
    <x:t xml:space="preserve">Copyright</x:t>
  </x:si>
  <x:si>
    <x:t xml:space="preserve">© {TAHUN BERJALAN} Galdino &amp; Partner. Hak cipta dilindungi.</x:t>
  </x:si>
  <x:si>
    <x:t xml:space="preserve">© {CURRENT YEAR} Galdino &amp; Partner. All rights reserved.</x:t>
  </x:si>
  <x:si>
    <x:t xml:space="preserve">FINAL – DYNAMIC</x:t>
  </x:si>
  <x:si>
    <x:t xml:space="preserve">Use the current year programmatically</x:t>
  </x:si>
  <x:si>
    <x:t xml:space="preserve">Global UI</x:t>
  </x:si>
  <x:si>
    <x:t xml:space="preserve">G-017</x:t>
  </x:si>
  <x:si>
    <x:t xml:space="preserve">Legal</x:t>
  </x:si>
  <x:si>
    <x:t xml:space="preserve">General disclaimer</x:t>
  </x:si>
  <x:si>
    <x:t xml:space="preserve">Informasi pada website ini bersifat umum dan bukan merupakan nasihat hukum untuk perkara tertentu. Persyaratan, proses, waktu, dan hasil tetap bergantung pada fakta setiap kebutuhan serta keputusan otoritas yang berwenang.</x:t>
  </x:si>
  <x:si>
    <x:t xml:space="preserve">Information on this website is general and does not constitute legal advice for a specific matter. Requirements, process, timing, and outcomes remain subject to the facts of each matter and decisions of the relevant authorities.</x:t>
  </x:si>
  <x:si>
    <x:t xml:space="preserve">Footer, article, service and contact boundary</x:t>
  </x:si>
  <x:si>
    <x:t xml:space="preserve">FINAL – REQUIRES FINAL LEGAL REVIEW</x:t>
  </x:si>
  <x:si>
    <x:t xml:space="preserve">Do not shorten in a way that creates an outcome promise</x:t>
  </x:si>
  <x:si>
    <x:t xml:space="preserve">Brand Guidelines; Blueprint</x:t>
  </x:si>
  <x:si>
    <x:t xml:space="preserve">G-018</x:t>
  </x:si>
  <x:si>
    <x:t xml:space="preserve">Language</x:t>
  </x:si>
  <x:si>
    <x:t xml:space="preserve">Language switch</x:t>
  </x:si>
  <x:si>
    <x:t xml:space="preserve">ID / EN</x:t>
  </x:si>
  <x:si>
    <x:t xml:space="preserve">Header</x:t>
  </x:si>
  <x:si>
    <x:t xml:space="preserve">Equivalent localized route</x:t>
  </x:si>
  <x:si>
    <x:t xml:space="preserve">Bilingual governance</x:t>
  </x:si>
  <x:si>
    <x:t xml:space="preserve">G-019</x:t>
  </x:si>
  <x:si>
    <x:t xml:space="preserve">Public phone</x:t>
  </x:si>
  <x:si>
    <x:t xml:space="preserve">[NOMOR TELEPON/WHATSAPP PUBLIK GP – MENUNGGU PERSETUJUAN]</x:t>
  </x:si>
  <x:si>
    <x:t xml:space="preserve">[APPROVED PUBLIC GP PHONE/WHATSAPP – PENDING]</x:t>
  </x:si>
  <x:si>
    <x:t xml:space="preserve">Footer, Contact, WhatsApp dock</x:t>
  </x:si>
  <x:si>
    <x:t xml:space="preserve">wa.me/{approved-number}</x:t>
  </x:si>
  <x:si>
    <x:t xml:space="preserve">PLACEHOLDER – TIDAK BOLEH TAYANG</x:t>
  </x:si>
  <x:si>
    <x:t xml:space="preserve">Current contact is a Kultivate/project contact</x:t>
  </x:si>
  <x:si>
    <x:t xml:space="preserve">Master Alignment</x:t>
  </x:si>
  <x:si>
    <x:t xml:space="preserve">G-020</x:t>
  </x:si>
  <x:si>
    <x:t xml:space="preserve">Public email</x:t>
  </x:si>
  <x:si>
    <x:t xml:space="preserve">[EMAIL PUBLIK GP – MENUNGGU PERSETUJUAN]</x:t>
  </x:si>
  <x:si>
    <x:t xml:space="preserve">[APPROVED PUBLIC GP EMAIL – PENDING]</x:t>
  </x:si>
  <x:si>
    <x:t xml:space="preserve">Footer, Contact</x:t>
  </x:si>
  <x:si>
    <x:t xml:space="preserve">mailto:{approved-email}</x:t>
  </x:si>
  <x:si>
    <x:t xml:space="preserve">Current email is a Kultivate/project contact</x:t>
  </x:si>
  <x:si>
    <x:t xml:space="preserve">G-021</x:t>
  </x:si>
  <x:si>
    <x:t xml:space="preserve">Office address</x:t>
  </x:si>
  <x:si>
    <x:t xml:space="preserve">Kota Tangerang, Banten, Indonesia. [ALAMAT JALAN LENGKAP – MENUNGGU PERSETUJUAN]</x:t>
  </x:si>
  <x:si>
    <x:t xml:space="preserve">Kota Tangerang, Banten, Indonesia. [FULL STREET ADDRESS – PENDING APPROVAL]</x:t>
  </x:si>
  <x:si>
    <x:t xml:space="preserve">Map link after approval</x:t>
  </x:si>
  <x:si>
    <x:t xml:space="preserve">PARTIAL FINAL + PLACEHOLDER</x:t>
  </x:si>
  <x:si>
    <x:t xml:space="preserve">Do not invent street address</x:t>
  </x:si>
  <x:si>
    <x:t xml:space="preserve">Discovery; Master Alignment</x:t>
  </x:si>
  <x:si>
    <x:t xml:space="preserve">G-022</x:t>
  </x:si>
  <x:si>
    <x:t xml:space="preserve">Form</x:t>
  </x:si>
  <x:si>
    <x:t xml:space="preserve">Field label: name</x:t>
  </x:si>
  <x:si>
    <x:t xml:space="preserve">Nama lengkap</x:t>
  </x:si>
  <x:si>
    <x:t xml:space="preserve">Full name</x:t>
  </x:si>
  <x:si>
    <x:t xml:space="preserve">Current form</x:t>
  </x:si>
  <x:si>
    <x:t xml:space="preserve">G-023</x:t>
  </x:si>
  <x:si>
    <x:t xml:space="preserve">Field label: company</x:t>
  </x:si>
  <x:si>
    <x:t xml:space="preserve">Perusahaan / organisasi</x:t>
  </x:si>
  <x:si>
    <x:t xml:space="preserve">Company / organization</x:t>
  </x:si>
  <x:si>
    <x:t xml:space="preserve">G-024</x:t>
  </x:si>
  <x:si>
    <x:t xml:space="preserve">Field label: email</x:t>
  </x:si>
  <x:si>
    <x:t xml:space="preserve">Email</x:t>
  </x:si>
  <x:si>
    <x:t xml:space="preserve">G-025</x:t>
  </x:si>
  <x:si>
    <x:t xml:space="preserve">Field label: WhatsApp</x:t>
  </x:si>
  <x:si>
    <x:t xml:space="preserve">Nomor WhatsApp</x:t>
  </x:si>
  <x:si>
    <x:t xml:space="preserve">WhatsApp number</x:t>
  </x:si>
  <x:si>
    <x:t xml:space="preserve">G-026</x:t>
  </x:si>
  <x:si>
    <x:t xml:space="preserve">Field label: service</x:t>
  </x:si>
  <x:si>
    <x:t xml:space="preserve">Kebutuhan layanan</x:t>
  </x:si>
  <x:si>
    <x:t xml:space="preserve">Service needed</x:t>
  </x:si>
  <x:si>
    <x:t xml:space="preserve">G-027</x:t>
  </x:si>
  <x:si>
    <x:t xml:space="preserve">Field label: message</x:t>
  </x:si>
  <x:si>
    <x:t xml:space="preserve">Ceritakan kegiatan usaha, lokasi, kebutuhan, dan target waktu Anda</x:t>
  </x:si>
  <x:si>
    <x:t xml:space="preserve">Tell us about your business activity, location, need, and target timing</x:t>
  </x:si>
  <x:si>
    <x:t xml:space="preserve">Inquiry quality criteria</x:t>
  </x:si>
  <x:si>
    <x:t xml:space="preserve">G-028</x:t>
  </x:si>
  <x:si>
    <x:t xml:space="preserve">Service option</x:t>
  </x:si>
  <x:si>
    <x:t xml:space="preserve">Belum yakin — perlu asesmen awal</x:t>
  </x:si>
  <x:si>
    <x:t xml:space="preserve">Not sure yet — initial assessment needed</x:t>
  </x:si>
  <x:si>
    <x:t xml:space="preserve">Contact form select</x:t>
  </x:si>
  <x:si>
    <x:t xml:space="preserve">User need</x:t>
  </x:si>
  <x:si>
    <x:t xml:space="preserve">G-029</x:t>
  </x:si>
  <x:si>
    <x:t xml:space="preserve">Consent</x:t>
  </x:si>
  <x:si>
    <x:t xml:space="preserve">[PLACEHOLDER — teks persetujuan pemrosesan data menunggu Privacy Policy dan legal review]</x:t>
  </x:si>
  <x:si>
    <x:t xml:space="preserve">[PLACEHOLDER — data-processing consent text pending an approved Privacy Policy and legal review]</x:t>
  </x:si>
  <x:si>
    <x:t xml:space="preserve">Privacy Policy is a launch blocker</x:t>
  </x:si>
  <x:si>
    <x:t xml:space="preserve">G-030</x:t>
  </x:si>
  <x:si>
    <x:t xml:space="preserve">Sensitive-data warning</x:t>
  </x:si>
  <x:si>
    <x:t xml:space="preserve">Jangan kirim password, OTP, akses sistem, atau dokumen sensitif yang belum diminta.</x:t>
  </x:si>
  <x:si>
    <x:t xml:space="preserve">Do not send passwords, OTPs, system access details, or sensitive documents that have not been requested.</x:t>
  </x:si>
  <x:si>
    <x:t xml:space="preserve">Contact form, attachment helper</x:t>
  </x:si>
  <x:si>
    <x:t xml:space="preserve">FINAL – RECOMMENDED</x:t>
  </x:si>
  <x:si>
    <x:t xml:space="preserve">Discovery safety guidance</x:t>
  </x:si>
  <x:si>
    <x:t xml:space="preserve">G-031</x:t>
  </x:si>
  <x:si>
    <x:t xml:space="preserve">Required error</x:t>
  </x:si>
  <x:si>
    <x:t xml:space="preserve">Lengkapi bagian yang wajib diisi.</x:t>
  </x:si>
  <x:si>
    <x:t xml:space="preserve">Complete the required fields.</x:t>
  </x:si>
  <x:si>
    <x:t xml:space="preserve">Contact form validation</x:t>
  </x:si>
  <x:si>
    <x:t xml:space="preserve">UI copy</x:t>
  </x:si>
  <x:si>
    <x:t xml:space="preserve">G-032</x:t>
  </x:si>
  <x:si>
    <x:t xml:space="preserve">Invalid email error</x:t>
  </x:si>
  <x:si>
    <x:t xml:space="preserve">Masukkan alamat email yang valid.</x:t>
  </x:si>
  <x:si>
    <x:t xml:space="preserve">Enter a valid email address.</x:t>
  </x:si>
  <x:si>
    <x:t xml:space="preserve">G-033</x:t>
  </x:si>
  <x:si>
    <x:t xml:space="preserve">Submission error</x:t>
  </x:si>
  <x:si>
    <x:t xml:space="preserve">Permintaan belum berhasil dikirim. Periksa kembali data Anda atau coba lagi beberapa saat.</x:t>
  </x:si>
  <x:si>
    <x:t xml:space="preserve">Your inquiry could not be sent. Review your information or try again shortly.</x:t>
  </x:si>
  <x:si>
    <x:t xml:space="preserve">Contact form error state</x:t>
  </x:si>
  <x:si>
    <x:t xml:space="preserve">Do not promise delivery if API fails</x:t>
  </x:si>
  <x:si>
    <x:t xml:space="preserve">Inquiry UX</x:t>
  </x:si>
  <x:si>
    <x:t xml:space="preserve">G-034</x:t>
  </x:si>
  <x:si>
    <x:t xml:space="preserve">Modal</x:t>
  </x:si>
  <x:si>
    <x:t xml:space="preserve">Success headline</x:t>
  </x:si>
  <x:si>
    <x:t xml:space="preserve">Permintaan Anda telah terkirim.</x:t>
  </x:si>
  <x:si>
    <x:t xml:space="preserve">Your inquiry has been sent.</x:t>
  </x:si>
  <x:si>
    <x:t xml:space="preserve">Post-submit modal</x:t>
  </x:si>
  <x:si>
    <x:t xml:space="preserve">Close modal / remain on Contact</x:t>
  </x:si>
  <x:si>
    <x:t xml:space="preserve">FINAL – TARGET BELUM DITERAPKAN</x:t>
  </x:si>
  <x:si>
    <x:t xml:space="preserve">Current implementation uses inline success feedback</x:t>
  </x:si>
  <x:si>
    <x:t xml:space="preserve">Approved inquiry target</x:t>
  </x:si>
  <x:si>
    <x:t xml:space="preserve">G-035</x:t>
  </x:si>
  <x:si>
    <x:t xml:space="preserve">Success body</x:t>
  </x:si>
  <x:si>
    <x:t xml:space="preserve">Informasi yang Anda kirim telah diterima untuk review awal. Tim akan menghubungi Anda melalui detail kontak yang diberikan apabila diperlukan klarifikasi atau penjadwalan konsultasi.</x:t>
  </x:si>
  <x:si>
    <x:t xml:space="preserve">The information you submitted has been received for an initial review. The team will contact you using the details provided if clarification or consultation scheduling is needed.</x:t>
  </x:si>
  <x:si>
    <x:t xml:space="preserve">Close modal</x:t>
  </x:si>
  <x:si>
    <x:t xml:space="preserve">No separate Thank You page</x:t>
  </x:si>
  <x:si>
    <x:t xml:space="preserve">G-036</x:t>
  </x:si>
  <x:si>
    <x:t xml:space="preserve">Close label</x:t>
  </x:si>
  <x:si>
    <x:t xml:space="preserve">Tutup</x:t>
  </x:si>
  <x:si>
    <x:t xml:space="preserve">Close</x:t>
  </x:si>
  <x:si>
    <x:t xml:space="preserve">G-037</x:t>
  </x:si>
  <x:si>
    <x:t xml:space="preserve">Metadata</x:t>
  </x:si>
  <x:si>
    <x:t xml:space="preserve">Default title template</x:t>
  </x:si>
  <x:si>
    <x:t xml:space="preserve">{Judul Halaman} | Galdino &amp; Partner</x:t>
  </x:si>
  <x:si>
    <x:t xml:space="preserve">{Page Title} | Galdino &amp; Partner</x:t>
  </x:si>
  <x:si>
    <x:t xml:space="preserve">All pages</x:t>
  </x:si>
  <x:si>
    <x:t xml:space="preserve">SEO structure</x:t>
  </x:si>
  <x:si>
    <x:t xml:space="preserve">G-038</x:t>
  </x:si>
  <x:si>
    <x:t xml:space="preserve">Default description</x:t>
  </x:si>
  <x:si>
    <x:t xml:space="preserve">Konsultan perizinan dan partner legal-regulasi untuk membantu bisnis memetakan persyaratan, menyiapkan dokumen, dan menavigasi proses di Indonesia.</x:t>
  </x:si>
  <x:si>
    <x:t xml:space="preserve">A business licensing consultant and legal-regulatory partner helping businesses map requirements, prepare documents, and navigate processes in Indonesia.</x:t>
  </x:si>
  <x:si>
    <x:t xml:space="preserve">Home/default metadata</x:t>
  </x:si>
  <x:si>
    <x:t xml:space="preserve">No unverified statistics or outcome claims</x:t>
  </x:si>
  <x:si>
    <x:t xml:space="preserve">Positioning</x:t>
  </x:si>
  <x:si>
    <x:t xml:space="preserve">G-039</x:t>
  </x:si>
  <x:si>
    <x:t xml:space="preserve">Status</x:t>
  </x:si>
  <x:si>
    <x:t xml:space="preserve">Preview label</x:t>
  </x:si>
  <x:si>
    <x:t xml:space="preserve">PREVIEW — BELUM UNTUK PUBLIKASI</x:t>
  </x:si>
  <x:si>
    <x:t xml:space="preserve">PREVIEW — NOT FOR PUBLICATION</x:t>
  </x:si>
  <x:si>
    <x:t xml:space="preserve">Staging-only content</x:t>
  </x:si>
  <x:si>
    <x:t xml:space="preserve">FINAL – INTERNAL/STAGING</x:t>
  </x:si>
  <x:si>
    <x:t xml:space="preserve">Use on articles, cases, team prototype as applicable</x:t>
  </x:si>
  <x:si>
    <x:t xml:space="preserve">Prototype governance</x:t>
  </x:si>
  <x:si>
    <x:t xml:space="preserve">G-040</x:t>
  </x:si>
  <x:si>
    <x:t xml:space="preserve">Pending evidence label</x:t>
  </x:si>
  <x:si>
    <x:t xml:space="preserve">BUKTI / PERSETUJUAN MENUNGGU VERIFIKASI</x:t>
  </x:si>
  <x:si>
    <x:t xml:space="preserve">EVIDENCE / APPROVAL PENDING VERIFICATION</x:t>
  </x:si>
  <x:si>
    <x:t xml:space="preserve">Internal content workflow</x:t>
  </x:si>
  <x:si>
    <x:t xml:space="preserve">FINAL – INTERNAL</x:t>
  </x:si>
  <x:si>
    <x:t xml:space="preserve">Not intended as public copy</x:t>
  </x:si>
  <x:si>
    <x:t xml:space="preserve">Governance</x:t>
  </x:si>
  <x:si>
    <x:t xml:space="preserve">Legend: GREEN = confirmed/final or done · AMBER = pending/preview/backlog · RED = blocked/do not publish/critical. Status colors do not replace approval records.</x:t>
  </x:si>
  <x:si>
    <x:t xml:space="preserve">FASE 2 — PERTANYAAN YANG HARUS DIJAWAB SETIAP HALAMAN</x:t>
  </x:si>
  <x:si>
    <x:t xml:space="preserve">Setiap halaman memiliki satu pertanyaan utama dan pertanyaan pendukung untuk menjaga satu pekerjaan utama per halaman, mencegah copy generik, dan memastikan next step terlihat.</x:t>
  </x:si>
  <x:si>
    <x:t xml:space="preserve">Question ID</x:t>
  </x:si>
  <x:si>
    <x:t xml:space="preserve">Lifecycle</x:t>
  </x:si>
  <x:si>
    <x:t xml:space="preserve">Primary Question — ID</x:t>
  </x:si>
  <x:si>
    <x:t xml:space="preserve">Supporting Questions — ID</x:t>
  </x:si>
  <x:si>
    <x:t xml:space="preserve">Primary Question — EN</x:t>
  </x:si>
  <x:si>
    <x:t xml:space="preserve">Supporting Questions — EN</x:t>
  </x:si>
  <x:si>
    <x:t xml:space="preserve">Answer Basis</x:t>
  </x:si>
  <x:si>
    <x:t xml:space="preserve">Data Status</x:t>
  </x:si>
  <x:si>
    <x:t xml:space="preserve">Publication Note</x:t>
  </x:si>
  <x:si>
    <x:t xml:space="preserve">Q-GLOBAL-01</x:t>
  </x:si>
  <x:si>
    <x:t xml:space="preserve">CURRENT</x:t>
  </x:si>
  <x:si>
    <x:t xml:space="preserve">Apakah identitas, CTA, navigasi, legal boundary, form states, dan terminology konsisten di seluruh website?</x:t>
  </x:si>
  <x:si>
    <x:t xml:space="preserve">Apakah setiap label menuju destination yang benar? Apakah copy bilingual setara? Apakah placeholder tidak tampil sebagai fakta?</x:t>
  </x:si>
  <x:si>
    <x:t xml:space="preserve">Are identity, CTAs, navigation, legal boundaries, form states, and terminology consistent across the website?</x:t>
  </x:si>
  <x:si>
    <x:t xml:space="preserve">Does each label route correctly? Is bilingual copy equivalent? Are placeholders prevented from appearing as facts?</x:t>
  </x:si>
  <x:si>
    <x:t xml:space="preserve">Brand Guidelines; routing; governance</x:t>
  </x:si>
  <x:si>
    <x:t xml:space="preserve">MIXED</x:t>
  </x:si>
  <x:si>
    <x:t xml:space="preserve">Global copy is written once in 01_GLOBAL.</x:t>
  </x:si>
  <x:si>
    <x:t xml:space="preserve">Q-HOME-01</x:t>
  </x:si>
  <x:si>
    <x:t xml:space="preserve">Apakah Galdino &amp; Partner relevan untuk kebutuhan legal-regulasi bisnis saya, dan apa langkah pertama yang harus saya ambil?</x:t>
  </x:si>
  <x:si>
    <x:t xml:space="preserve">Masalah apa yang dibantu? Kategori layanan mana yang sesuai? Bagaimana prosesnya? Bukti apa yang dapat diverifikasi? Ke mana saya melanjutkan?</x:t>
  </x:si>
  <x:si>
    <x:t xml:space="preserve">Is Galdino &amp; Partner relevant to my business licensing or legal-regulatory need, and what first step should I take?</x:t>
  </x:si>
  <x:si>
    <x:t xml:space="preserve">What problems are supported? Which service category fits? How does the process work? What evidence is verifiable? What should I do next?</x:t>
  </x:si>
  <x:si>
    <x:t xml:space="preserve">Blueprint positioning; four service pillars; confirmed identity</x:t>
  </x:si>
  <x:si>
    <x:t xml:space="preserve">ANSWERABLE</x:t>
  </x:si>
  <x:si>
    <x:t xml:space="preserve">Experience/article previews remain gated.</x:t>
  </x:si>
  <x:si>
    <x:t xml:space="preserve">Q-PROFILE-01</x:t>
  </x:si>
  <x:si>
    <x:t xml:space="preserve">Siapa Galdino &amp; Partner, siapa operator legalnya, dan bagaimana pendekatannya bekerja?</x:t>
  </x:si>
  <x:si>
    <x:t xml:space="preserve">Apa identitas yang terkonfirmasi? Apa prinsip kerja? Siapa tim yang benar-benar dapat ditampilkan? Bukti apa yang tersedia?</x:t>
  </x:si>
  <x:si>
    <x:t xml:space="preserve">Who is Galdino &amp; Partner, who is its legal operator, and how does its approach work?</x:t>
  </x:si>
  <x:si>
    <x:t xml:space="preserve">Which identity facts are confirmed? What are its working principles? Which real team members may be published? What evidence is available?</x:t>
  </x:si>
  <x:si>
    <x:t xml:space="preserve">PARTIAL</x:t>
  </x:si>
  <x:si>
    <x:t xml:space="preserve">Legal identity is answerable; team evidence remains pending.</x:t>
  </x:si>
  <x:si>
    <x:t xml:space="preserve">Q-PROFILE-DETAIL-01</x:t>
  </x:si>
  <x:si>
    <x:t xml:space="preserve">CURRENT PROTOTYPE / NOINDEX</x:t>
  </x:si>
  <x:si>
    <x:t xml:space="preserve">Siapa profesional ini dan apa peran, keahlian, serta credential yang telah diverifikasi?</x:t>
  </x:si>
  <x:si>
    <x:t xml:space="preserve">Apakah nama, jabatan, pendidikan, lisensi, pengalaman, bahasa, foto, dan consent sudah disetujui?</x:t>
  </x:si>
  <x:si>
    <x:t xml:space="preserve">Who is this professional, and which role, expertise, and credentials have been verified?</x:t>
  </x:si>
  <x:si>
    <x:t xml:space="preserve">Have the name, title, education, licence, experience, languages, photo, and consent been approved?</x:t>
  </x:si>
  <x:si>
    <x:t xml:space="preserve">Dummy register; team governance</x:t>
  </x:si>
  <x:si>
    <x:t xml:space="preserve">NOT ANSWERABLE</x:t>
  </x:si>
  <x:si>
    <x:t xml:space="preserve">Keep placeholder/noindex; replace or remove before launch.</x:t>
  </x:si>
  <x:si>
    <x:t xml:space="preserve">Q-SERVICES-01</x:t>
  </x:si>
  <x:si>
    <x:t xml:space="preserve">Kategori layanan mana yang sesuai dengan situasi bisnis saya, dan informasi apa yang perlu disiapkan untuk review awal?</x:t>
  </x:si>
  <x:si>
    <x:t xml:space="preserve">Apa cakupan aman setiap kategori? Apa prosesnya? Apa yang belum dapat dijanjikan? Bagaimana ruang lingkup final ditentukan?</x:t>
  </x:si>
  <x:si>
    <x:t xml:space="preserve">Which service category fits my business situation, and what information should I prepare for an initial review?</x:t>
  </x:si>
  <x:si>
    <x:t xml:space="preserve">What is the safe scope of each category? How does the process work? What cannot be promised? How is final scope determined?</x:t>
  </x:si>
  <x:si>
    <x:t xml:space="preserve">Discovery; Blueprint; service governance</x:t>
  </x:si>
  <x:si>
    <x:t xml:space="preserve">ANSWERABLE WITH BOUNDARIES</x:t>
  </x:si>
  <x:si>
    <x:t xml:space="preserve">Detailed deliverables, exclusions, prices, and timelines remain pending.</x:t>
  </x:si>
  <x:si>
    <x:t xml:space="preserve">Q-EXPERIENCE-01</x:t>
  </x:si>
  <x:si>
    <x:t xml:space="preserve">CURRENT PROTOTYPE</x:t>
  </x:si>
  <x:si>
    <x:t xml:space="preserve">Apakah ada pengalaman relevan yang dapat diperiksa tanpa mengandalkan klaim atau angka yang belum terbukti?</x:t>
  </x:si>
  <x:si>
    <x:t xml:space="preserve">Apa konteks, scope, approach, output, evidence, dan consent untuk setiap case?</x:t>
  </x:si>
  <x:si>
    <x:t xml:space="preserve">Is there relevant experience that can be verified without relying on unsupported claims or figures?</x:t>
  </x:si>
  <x:si>
    <x:t xml:space="preserve">What are the context, scope, approach, output, evidence, and consent for each case?</x:t>
  </x:si>
  <x:si>
    <x:t xml:space="preserve">Dummy register; prototype governance</x:t>
  </x:si>
  <x:si>
    <x:t xml:space="preserve">Use approved case placeholders only; remove section before launch if evidence is unavailable.</x:t>
  </x:si>
  <x:si>
    <x:t xml:space="preserve">Q-BLOG-01</x:t>
  </x:si>
  <x:si>
    <x:t xml:space="preserve">CURRENT PREVIEW</x:t>
  </x:si>
  <x:si>
    <x:t xml:space="preserve">Insight mana yang membantu saya memahami konteks legal-regulasi sebelum mengambil langkah?</x:t>
  </x:si>
  <x:si>
    <x:t xml:space="preserve">Apakah artikel relevan, bersumber, ditinjau, bertanggal, dan jelas batas penerapannya?</x:t>
  </x:si>
  <x:si>
    <x:t xml:space="preserve">Which insight helps me understand the legal-regulatory context before taking action?</x:t>
  </x:si>
  <x:si>
    <x:t xml:space="preserve">Is the article relevant, sourced, reviewed, dated, and clear about its limits of application?</x:t>
  </x:si>
  <x:si>
    <x:t xml:space="preserve">Article governance</x:t>
  </x:si>
  <x:si>
    <x:t xml:space="preserve">Listing framework is final; actual articles are preview-only.</x:t>
  </x:si>
  <x:si>
    <x:t xml:space="preserve">Q-ARTICLE-01</x:t>
  </x:si>
  <x:si>
    <x:t xml:space="preserve">Apa yang berubah atau perlu dipahami, mengapa relevan bagi bisnis, dan apa langkah aman berikutnya?</x:t>
  </x:si>
  <x:si>
    <x:t xml:space="preserve">Apa sumber resmi, tanggal review, reviewer, applicability, exceptions, dan disclaimer?</x:t>
  </x:si>
  <x:si>
    <x:t xml:space="preserve">What changed or needs to be understood, why does it matter to business, and what is the next safe step?</x:t>
  </x:si>
  <x:si>
    <x:t xml:space="preserve">What are the official sources, review date, reviewer, applicability, exceptions, and disclaimer?</x:t>
  </x:si>
  <x:si>
    <x:t xml:space="preserve">Article governance; legal review boundary</x:t>
  </x:si>
  <x:si>
    <x:t xml:space="preserve">NOT ANSWERABLE GENERICALLY</x:t>
  </x:si>
  <x:si>
    <x:t xml:space="preserve">Use structured template; no substantive legal article may launch before review.</x:t>
  </x:si>
  <x:si>
    <x:t xml:space="preserve">Q-CONTACT-01</x:t>
  </x:si>
  <x:si>
    <x:t xml:space="preserve">Informasi apa yang harus saya kirim agar kebutuhan dapat direview, dan apa yang terjadi setelahnya?</x:t>
  </x:si>
  <x:si>
    <x:t xml:space="preserve">Data apa yang aman dibagikan? Tahap setelah submit? Kanal kontak? Waktu respons? Permintaan apa yang tidak dapat diterima?</x:t>
  </x:si>
  <x:si>
    <x:t xml:space="preserve">What should I submit so my need can be reviewed, and what happens next?</x:t>
  </x:si>
  <x:si>
    <x:t xml:space="preserve">What information is safe to share? What happens after submission? Which contact channels apply? What is the response timing? Which requests cannot be accepted?</x:t>
  </x:si>
  <x:si>
    <x:t xml:space="preserve">Discovery; current form; routing</x:t>
  </x:si>
  <x:si>
    <x:t xml:space="preserve">Process is answerable; public contacts, consent, and response SLA require approval.</x:t>
  </x:si>
  <x:si>
    <x:t xml:space="preserve">Q-SD-EST-01</x:t>
  </x:si>
  <x:si>
    <x:t xml:space="preserve">Service Detail — Pendirian &amp; Legalitas</x:t>
  </x:si>
  <x:si>
    <x:t xml:space="preserve">BACKLOG</x:t>
  </x:si>
  <x:si>
    <x:t xml:space="preserve">Apa yang termasuk dalam pendirian dan penataan fondasi legal usaha untuk konteks saya?</x:t>
  </x:si>
  <x:si>
    <x:t xml:space="preserve">Entity action, required documents, NIB/KBLI, deliverables, exclusions, dependencies, timeline, fees, next step?</x:t>
  </x:si>
  <x:si>
    <x:t xml:space="preserve">What is included in establishing and structuring the legal foundation of a business for my context?</x:t>
  </x:si>
  <x:si>
    <x:t xml:space="preserve">Blueprint; missing-information register</x:t>
  </x:si>
  <x:si>
    <x:t xml:space="preserve">Safe overview drafted; operational scope remains placeholder.</x:t>
  </x:si>
  <x:si>
    <x:t xml:space="preserve">Q-SD-RISK-01</x:t>
  </x:si>
  <x:si>
    <x:t xml:space="preserve">Service Detail — Perizinan Berbasis Risiko</x:t>
  </x:si>
  <x:si>
    <x:t xml:space="preserve">Bagaimana kegiatan, KBLI, risk level, OSS-RBA, PB UMKU, dan izin sektoral berkaitan?</x:t>
  </x:si>
  <x:si>
    <x:t xml:space="preserve">Coverage, documents, authority path, commitments, dependencies, timeline, fees, next step?</x:t>
  </x:si>
  <x:si>
    <x:t xml:space="preserve">How do business activity, KBLI, risk level, OSS-RBA, PB UMKU, and sectoral permits relate?</x:t>
  </x:si>
  <x:si>
    <x:t xml:space="preserve">Coverage, documents, authority pathway, commitments, dependencies, timeline, fees, next step?</x:t>
  </x:si>
  <x:si>
    <x:t xml:space="preserve">No sector-specific claim without validation.</x:t>
  </x:si>
  <x:si>
    <x:t xml:space="preserve">Q-SD-COMP-01</x:t>
  </x:si>
  <x:si>
    <x:t xml:space="preserve">Service Detail — Kepatuhan &amp; Legal Advisory</x:t>
  </x:si>
  <x:si>
    <x:t xml:space="preserve">Kewajiban apa yang perlu ditinjau atau dipantau setelah izin terbit atau kegiatan berubah?</x:t>
  </x:si>
  <x:si>
    <x:t xml:space="preserve">Review scope, permit lifecycle, retainer, SOP, deliverables, exclusions, reviewer, timeline, fees?</x:t>
  </x:si>
  <x:si>
    <x:t xml:space="preserve">Which obligations need review or monitoring after a permit is issued or a business activity changes?</x:t>
  </x:si>
  <x:si>
    <x:t xml:space="preserve">Retainer/SOP/legal reviewer details remain pending.</x:t>
  </x:si>
  <x:si>
    <x:t xml:space="preserve">Q-SD-PROJ-01</x:t>
  </x:si>
  <x:si>
    <x:t xml:space="preserve">Service Detail — Perizinan Proyek &amp; Investasi</x:t>
  </x:si>
  <x:si>
    <x:t xml:space="preserve">Izin, dokumen, dan koordinasi apa yang perlu dipetakan untuk ekspansi, proyek, atau investasi?</x:t>
  </x:si>
  <x:si>
    <x:t xml:space="preserve">Project context, location, entities, sector, cross-document dependencies, authorities, deliverables, timeline, fees?</x:t>
  </x:si>
  <x:si>
    <x:t xml:space="preserve">Which permits, documents, and coordination need to be mapped for an expansion, project, or investment?</x:t>
  </x:si>
  <x:si>
    <x:t xml:space="preserve">Sector/project examples require approval.</x:t>
  </x:si>
  <x:si>
    <x:t xml:space="preserve">Q-FAQ-01</x:t>
  </x:si>
  <x:si>
    <x:t xml:space="preserve">Apa pertanyaan umum yang dapat dijawab konsisten tanpa menggantikan asesmen spesifik?</x:t>
  </x:si>
  <x:si>
    <x:t xml:space="preserve">Apakah NIB selalu cukup? Apakah hasil dapat dijamin? Dokumen awal apa? Bagaimana scope/biaya/timeline ditentukan?</x:t>
  </x:si>
  <x:si>
    <x:t xml:space="preserve">Which common questions can be answered consistently without replacing a matter-specific assessment?</x:t>
  </x:si>
  <x:si>
    <x:t xml:space="preserve">Is NIB always sufficient? Can outcomes be guaranteed? What initial documents are needed? How are scope, fees, and timing determined?</x:t>
  </x:si>
  <x:si>
    <x:t xml:space="preserve">Blueprint; FAQ gap</x:t>
  </x:si>
  <x:si>
    <x:t xml:space="preserve">Questions drafted; answers require legal/operational review.</x:t>
  </x:si>
  <x:si>
    <x:t xml:space="preserve">Q-PRIVACY-01</x:t>
  </x:si>
  <x:si>
    <x:t xml:space="preserve">BACKLOG / LAUNCH BLOCKER</x:t>
  </x:si>
  <x:si>
    <x:t xml:space="preserve">Data apa yang dikumpulkan, mengapa, bagaimana diproses, disimpan, dibagikan, dan bagaimana pengguna menjalankan haknya?</x:t>
  </x:si>
  <x:si>
    <x:t xml:space="preserve">Controller/contact, lawful basis, retention, security, third parties, cookies, user rights, cross-border processing?</x:t>
  </x:si>
  <x:si>
    <x:t xml:space="preserve">What data is collected, why, how it is processed, stored, shared, and how users exercise their rights?</x:t>
  </x:si>
  <x:si>
    <x:t xml:space="preserve">Privacy gap register</x:t>
  </x:si>
  <x:si>
    <x:t xml:space="preserve">Do not draft policy facts without legal review and actual data-flow confirmation.</x:t>
  </x:si>
  <x:si>
    <x:t xml:space="preserve">Q-TERMS-01</x:t>
  </x:si>
  <x:si>
    <x:t xml:space="preserve">Apa batas penggunaan website, informasi umum, intellectual property, third-party links, liability, and governing terms?</x:t>
  </x:si>
  <x:si>
    <x:t xml:space="preserve">Permitted use, no-client-relationship boundary, accuracy/update limits, jurisdiction, contact, changes?</x:t>
  </x:si>
  <x:si>
    <x:t xml:space="preserve">What are the limits on website use, general information, intellectual property, third-party links, liability, and governing terms?</x:t>
  </x:si>
  <x:si>
    <x:t xml:space="preserve">Terms gap register</x:t>
  </x:si>
  <x:si>
    <x:t xml:space="preserve">Do not invent governing terms; requires legal drafting/review.</x:t>
  </x:si>
  <x:si>
    <x:t xml:space="preserve">FASE 2 — WEBSITE CONTENT SHEET (BAHASA INDONESIA)</x:t>
  </x:si>
  <x:si>
    <x:t xml:space="preserve">Final copy ditulis langsung per content block: headline, body, supporting points, evidence, CTA, destination, status publikasi, dependency, dan review status.</x:t>
  </x:si>
  <x:si>
    <x:t xml:space="preserve">Content ID</x:t>
  </x:si>
  <x:si>
    <x:t xml:space="preserve">Order</x:t>
  </x:si>
  <x:si>
    <x:t xml:space="preserve">Section / Component</x:t>
  </x:si>
  <x:si>
    <x:t xml:space="preserve">Headline</x:t>
  </x:si>
  <x:si>
    <x:t xml:space="preserve">Body</x:t>
  </x:si>
  <x:si>
    <x:t xml:space="preserve">Supporting Points</x:t>
  </x:si>
  <x:si>
    <x:t xml:space="preserve">Evidence / Proof</x:t>
  </x:si>
  <x:si>
    <x:t xml:space="preserve">Destination</x:t>
  </x:si>
  <x:si>
    <x:t xml:space="preserve">Placeholder / Dependency</x:t>
  </x:si>
  <x:si>
    <x:t xml:space="preserve">Review Status</x:t>
  </x:si>
  <x:si>
    <x:t xml:space="preserve">H-001</x:t>
  </x:si>
  <x:si>
    <x:t xml:space="preserve">Hero</x:t>
  </x:si>
  <x:si>
    <x:t xml:space="preserve">Jalur perizinan yang lebih jelas untuk keputusan bisnis Anda.</x:t>
  </x:si>
  <x:si>
    <x:t xml:space="preserve">Galdino &amp; Partner membantu perusahaan, pemilik usaha, dan investor memetakan kebutuhan legal-regulasi, menyiapkan dokumen, mengoordinasikan proses, memantau progres, dan melakukan tindak lanjut untuk kegiatan usaha di Indonesia.</x:t>
  </x:si>
  <x:si>
    <x:t xml:space="preserve">• Mulai dari kegiatan dan tujuan bisnis
• Petakan KBLI, tingkat risiko, izin, dan dokumen yang relevan
• Tentukan langkah berikutnya tanpa menjanjikan keputusan otoritas</x:t>
  </x:si>
  <x:si>
    <x:t xml:space="preserve">Operator legal: PT Karya Usaha Sukses; berdiri sejak 2015; berkedudukan di Kota Tangerang, Banten, Indonesia.</x:t>
  </x:si>
  <x:si>
    <x:t xml:space="preserve">CTA label update requires approval</x:t>
  </x:si>
  <x:si>
    <x:t xml:space="preserve">Discovery; Blueprint; Master Alignment</x:t>
  </x:si>
  <x:si>
    <x:t xml:space="preserve">READY FOR CONTENT APPROVAL</x:t>
  </x:si>
  <x:si>
    <x:t xml:space="preserve">H-002</x:t>
  </x:si>
  <x:si>
    <x:t xml:space="preserve">Problem orientation</x:t>
  </x:si>
  <x:si>
    <x:t xml:space="preserve">Kebutuhan izin berubah mengikuti kegiatan bisnis Anda.</x:t>
  </x:si>
  <x:si>
    <x:t xml:space="preserve">Pendirian badan usaha, perubahan kegiatan, ekspansi lokasi, izin sektoral, dan kewajiban setelah izin terbit dapat melibatkan klasifikasi, dokumen, urutan proses, dan otoritas yang berbeda.</x:t>
  </x:si>
  <x:si>
    <x:t xml:space="preserve">• Aktivitas dan model usaha
• Struktur badan usaha dan data legal
• Lokasi, produk, sektor, dan tahap operasional
• Kewajiban sebelum dan setelah izin terbit</x:t>
  </x:si>
  <x:si>
    <x:t xml:space="preserve">General regulatory problem framing; no sector-specific outcome claim.</x:t>
  </x:si>
  <x:si>
    <x:t xml:space="preserve">Lihat Kategori Layanan</x:t>
  </x:si>
  <x:si>
    <x:t xml:space="preserve">Blueprint user problems; Discovery</x:t>
  </x:si>
  <x:si>
    <x:t xml:space="preserve">H-003</x:t>
  </x:si>
  <x:si>
    <x:t xml:space="preserve">Service framework intro</x:t>
  </x:si>
  <x:si>
    <x:t xml:space="preserve">Empat kategori. Satu jalur kerja yang terurut.</x:t>
  </x:si>
  <x:si>
    <x:t xml:space="preserve">Website mengelompokkan kebutuhan legal-regulasi ke dalam empat kategori utama agar pengguna dapat memulai dari situasi bisnisnya, bukan dari daftar izin yang terpisah-pisah.</x:t>
  </x:si>
  <x:si>
    <x:t xml:space="preserve">• Pendirian &amp; Legalitas Usaha
• Perizinan Berbasis Risiko
• Kepatuhan &amp; Legal Advisory
• Perizinan Proyek &amp; Investasi</x:t>
  </x:si>
  <x:si>
    <x:t xml:space="preserve">Four approved top-level service categories.</x:t>
  </x:si>
  <x:si>
    <x:t xml:space="preserve">Lihat Semua Layanan</x:t>
  </x:si>
  <x:si>
    <x:t xml:space="preserve">15 detailed items remain prototype only</x:t>
  </x:si>
  <x:si>
    <x:t xml:space="preserve">Service governance</x:t>
  </x:si>
  <x:si>
    <x:t xml:space="preserve">H-004</x:t>
  </x:si>
  <x:si>
    <x:t xml:space="preserve">Service card</x:t>
  </x:si>
  <x:si>
    <x:t xml:space="preserve">Pendirian &amp; Legalitas Usaha</x:t>
  </x:si>
  <x:si>
    <x:t xml:space="preserve">Membantu pendirian dan penataan fondasi legal usaha, dokumen korporasi, NIB, dan kebutuhan awal operasional.</x:t>
  </x:si>
  <x:si>
    <x:t xml:space="preserve">Gunakan untuk kebutuhan pendirian, perubahan struktur, atau penataan data legal awal.</x:t>
  </x:si>
  <x:si>
    <x:t xml:space="preserve">Approved category; detailed deliverables and exclusions remain pending.</x:t>
  </x:si>
  <x:si>
    <x:t xml:space="preserve">Bahas Kebutuhan Anda</x:t>
  </x:si>
  <x:si>
    <x:t xml:space="preserve">FINAL – CATEGORY LEVEL</x:t>
  </x:si>
  <x:si>
    <x:t xml:space="preserve">Detailed scope/checklist pending</x:t>
  </x:si>
  <x:si>
    <x:t xml:space="preserve">Discovery; Blueprint</x:t>
  </x:si>
  <x:si>
    <x:t xml:space="preserve">H-005</x:t>
  </x:si>
  <x:si>
    <x:t xml:space="preserve">Perizinan Berbasis Risiko</x:t>
  </x:si>
  <x:si>
    <x:t xml:space="preserve">Membantu pemetaan KBLI, tingkat risiko, OSS-RBA, PB UMKU, dan izin sektoral yang relevan dengan kegiatan usaha.</x:t>
  </x:si>
  <x:si>
    <x:t xml:space="preserve">Gunakan ketika perlu menilai apakah NIB sudah cukup atau masih ada persyaratan lanjutan.</x:t>
  </x:si>
  <x:si>
    <x:t xml:space="preserve">Approved category; sector-specific coverage requires validation.</x:t>
  </x:si>
  <x:si>
    <x:t xml:space="preserve">Sector-specific coverage pending</x:t>
  </x:si>
  <x:si>
    <x:t xml:space="preserve">H-006</x:t>
  </x:si>
  <x:si>
    <x:t xml:space="preserve">Kepatuhan &amp; Legal Advisory</x:t>
  </x:si>
  <x:si>
    <x:t xml:space="preserve">Mendukung review kepatuhan, risiko regulasi, dan kebutuhan legal yang berkaitan dengan permit lifecycle serta kelangsungan operasional.</x:t>
  </x:si>
  <x:si>
    <x:t xml:space="preserve">Gunakan untuk ketidaksesuaian data, kewajiban pascaizin, review berkala, atau dukungan berkelanjutan.</x:t>
  </x:si>
  <x:si>
    <x:t xml:space="preserve">Approved category; retainer, SOP, and reviewer scope remain pending.</x:t>
  </x:si>
  <x:si>
    <x:t xml:space="preserve">Retainer/SOP/reviewer details pending</x:t>
  </x:si>
  <x:si>
    <x:t xml:space="preserve">H-007</x:t>
  </x:si>
  <x:si>
    <x:t xml:space="preserve">Perizinan Proyek &amp; Investasi</x:t>
  </x:si>
  <x:si>
    <x:t xml:space="preserve">Membantu memetakan dan mengoordinasikan jalur izin untuk ekspansi, proyek, investasi, dan kebutuhan lintas dokumen di Indonesia.</x:t>
  </x:si>
  <x:si>
    <x:t xml:space="preserve">Gunakan ketika rencana melibatkan lokasi, kegiatan, entitas, sektor, atau tahapan proyek yang saling berkaitan.</x:t>
  </x:si>
  <x:si>
    <x:t xml:space="preserve">Approved category; project/sector examples require approval.</x:t>
  </x:si>
  <x:si>
    <x:t xml:space="preserve">Project/sector examples pending</x:t>
  </x:si>
  <x:si>
    <x:t xml:space="preserve">H-008</x:t>
  </x:si>
  <x:si>
    <x:t xml:space="preserve">Process</x:t>
  </x:si>
  <x:si>
    <x:t xml:space="preserve">Dari kebutuhan bisnis ke langkah yang dapat ditindaklanjuti.</x:t>
  </x:si>
  <x:si>
    <x:t xml:space="preserve">Pendekatan kerja dimulai dari memahami konteks, lalu menyusun urutan kebutuhan dan tindak lanjut yang dapat didokumentasikan.</x:t>
  </x:si>
  <x:si>
    <x:t xml:space="preserve">1. Assess — pahami kegiatan, lokasi, tujuan, dan kondisi awal
2. Map — petakan KBLI, risiko, izin, dokumen, dan dependensi
3. Prepare — siapkan dokumen dan evidence yang diperlukan
4. Coordinate — koordinasikan jalur proses dan komunikasi
5. Monitor — pantau progres, kebutuhan tambahan, dan perubahan
6. Follow Up — tindak lanjuti hasil, kewajiban, atau koreksi</x:t>
  </x:si>
  <x:si>
    <x:t xml:space="preserve">Approved process framework; execution detail depends on agreed scope.</x:t>
  </x:si>
  <x:si>
    <x:t xml:space="preserve">Mulai Review Awal</x:t>
  </x:si>
  <x:si>
    <x:t xml:space="preserve">Operational detail depends on engagement scope</x:t>
  </x:si>
  <x:si>
    <x:t xml:space="preserve">H-009</x:t>
  </x:si>
  <x:si>
    <x:t xml:space="preserve">Credibility</x:t>
  </x:si>
  <x:si>
    <x:t xml:space="preserve">Identitas yang jelas. Klaim yang dapat diperiksa.</x:t>
  </x:si>
  <x:si>
    <x:t xml:space="preserve">Website tidak menggunakan statistik, hasil proyek, logo klien, testimoni, harga, atau timeline sebagai fakta sebelum bukti dan persetujuannya tersedia.</x:t>
  </x:si>
  <x:si>
    <x:t xml:space="preserve">Legal operator, year established, and domicile confirmed. Registration number remains pending verification.</x:t>
  </x:si>
  <x:si>
    <x:t xml:space="preserve">Pelajari Profil</x:t>
  </x:si>
  <x:si>
    <x:t xml:space="preserve">Registration number not displayed</x:t>
  </x:si>
  <x:si>
    <x:t xml:space="preserve">Master Alignment; governance</x:t>
  </x:si>
  <x:si>
    <x:t xml:space="preserve">H-010</x:t>
  </x:si>
  <x:si>
    <x:t xml:space="preserve">CURRENT PROTOTYPE SECTION</x:t>
  </x:si>
  <x:si>
    <x:t xml:space="preserve">Experience preview</x:t>
  </x:si>
  <x:si>
    <x:t xml:space="preserve">Pengalaman yang dijelaskan dengan konteks, bukan angka tanpa bukti.</x:t>
  </x:si>
  <x:si>
    <x:t xml:space="preserve">Case study hanya dapat ditampilkan setelah konteks, ruang lingkup, pendekatan, output, bukti, dan izin publikasi telah disetujui.</x:t>
  </x:si>
  <x:si>
    <x:t xml:space="preserve">• [CASE STUDY YANG TELAH DISETUJUI]
• [SCOPE DAN OUTPUT YANG DAPAT DIVERIFIKASI]
• [BUKTI / CONSENT PUBLIKASI]</x:t>
  </x:si>
  <x:si>
    <x:t xml:space="preserve">No approved public case evidence currently available.</x:t>
  </x:si>
  <x:si>
    <x:t xml:space="preserve">Lihat Pengalaman</x:t>
  </x:si>
  <x:si>
    <x:t xml:space="preserve">PLACEHOLDER – STAGING ONLY</x:t>
  </x:si>
  <x:si>
    <x:t xml:space="preserve">Replace with approved cases or remove before launch</x:t>
  </x:si>
  <x:si>
    <x:t xml:space="preserve">BLOCKED – EVIDENCE REQUIRED</x:t>
  </x:si>
  <x:si>
    <x:t xml:space="preserve">H-011</x:t>
  </x:si>
  <x:si>
    <x:t xml:space="preserve">CURRENT PREVIEW SECTION</x:t>
  </x:si>
  <x:si>
    <x:t xml:space="preserve">Insight preview</x:t>
  </x:si>
  <x:si>
    <x:t xml:space="preserve">Insight untuk memahami konteks sebelum mengambil langkah.</x:t>
  </x:si>
  <x:si>
    <x:t xml:space="preserve">Artikel membantu memberikan orientasi umum mengenai legalitas usaha, OSS-RBA dan KBLI, izin sektoral, kepatuhan, serta perizinan proyek dan investasi.</x:t>
  </x:si>
  <x:si>
    <x:t xml:space="preserve">Setiap artikel wajib memiliki sumber, tanggal review, reviewer yang berwenang, dan batas penerapan yang jelas.</x:t>
  </x:si>
  <x:si>
    <x:t xml:space="preserve">Article framework only; existing entries remain preview-only.</x:t>
  </x:si>
  <x:si>
    <x:t xml:space="preserve">Lihat Insight</x:t>
  </x:si>
  <x:si>
    <x:t xml:space="preserve">FINAL FRAMEWORK / ARTICLES PREVIEW ONLY</x:t>
  </x:si>
  <x:si>
    <x:t xml:space="preserve">Legal/editorial review required</x:t>
  </x:si>
  <x:si>
    <x:t xml:space="preserve">H-012</x:t>
  </x:si>
  <x:si>
    <x:t xml:space="preserve">Final CTA</x:t>
  </x:si>
  <x:si>
    <x:t xml:space="preserve">Mulai dari konteks bisnis Anda.</x:t>
  </x:si>
  <x:si>
    <x:t xml:space="preserve">Ceritakan kegiatan usaha, lokasi, kondisi dokumen, kebutuhan, dan target waktu. Informasi tersebut membantu tim melakukan review awal sebelum menentukan ruang lingkup berikutnya.</x:t>
  </x:si>
  <x:si>
    <x:t xml:space="preserve">Initial inquiry process confirmed; public response SLA not approved.</x:t>
  </x:si>
  <x:si>
    <x:t xml:space="preserve">CTA label approval pending</x:t>
  </x:si>
  <x:si>
    <x:t xml:space="preserve">Discovery inquiry flow</x:t>
  </x:si>
  <x:si>
    <x:t xml:space="preserve">P-001</x:t>
  </x:si>
  <x:si>
    <x:t xml:space="preserve">Partner legal-regulasi untuk langkah bisnis yang lebih terarah.</x:t>
  </x:si>
  <x:si>
    <x:t xml:space="preserve">Kami membantu decision-maker mengubah kebutuhan perizinan yang kompleks menjadi urutan kerja yang lebih jelas, terdokumentasi, dan siap ditindaklanjuti.</x:t>
  </x:si>
  <x:si>
    <x:t xml:space="preserve">• Permit handling first
• Legal capability in support
• Kejelasan proses tanpa janji hasil otoritas</x:t>
  </x:si>
  <x:si>
    <x:t xml:space="preserve">Positioning approved in Blueprint.</x:t>
  </x:si>
  <x:si>
    <x:t xml:space="preserve">Blueprint positioning</x:t>
  </x:si>
  <x:si>
    <x:t xml:space="preserve">P-002</x:t>
  </x:si>
  <x:si>
    <x:t xml:space="preserve">Identity</x:t>
  </x:si>
  <x:si>
    <x:t xml:space="preserve">Dioperasikan oleh badan usaha yang terkonfirmasi.</x:t>
  </x:si>
  <x:si>
    <x:t xml:space="preserve">• Brand publik: Galdino &amp; Partner
• Descriptor: Galdino &amp; Partner by Kultivate
• Nomor registrasi: menunggu verifikasi dokumen resmi dan tidak ditampilkan sebagai fakta publik</x:t>
  </x:si>
  <x:si>
    <x:t xml:space="preserve">Operator, legal form, year, and domicile confirmed.</x:t>
  </x:si>
  <x:si>
    <x:t xml:space="preserve">Registration number pending</x:t>
  </x:si>
  <x:si>
    <x:t xml:space="preserve">P-003</x:t>
  </x:si>
  <x:si>
    <x:t xml:space="preserve">Approach</x:t>
  </x:si>
  <x:si>
    <x:t xml:space="preserve">Kami memulai dari kegiatan bisnis, bukan sekadar daftar izin.</x:t>
  </x:si>
  <x:si>
    <x:t xml:space="preserve">Kebutuhan perizinan dinilai berdasarkan kegiatan, struktur badan usaha, lokasi, produk atau sektor, kondisi dokumen, tingkat risiko, serta tujuan operasional atau investasi.</x:t>
  </x:si>
  <x:si>
    <x:t xml:space="preserve">• Pahami konteks dan masalah
• Petakan persyaratan dan dependensi
• Siapkan dokumen
• Koordinasikan dan pantau proses
• Lakukan tindak lanjut</x:t>
  </x:si>
  <x:si>
    <x:t xml:space="preserve">Process framework confirmed.</x:t>
  </x:si>
  <x:si>
    <x:t xml:space="preserve">Lihat Cara Kami Membantu</x:t>
  </x:si>
  <x:si>
    <x:t xml:space="preserve">Blueprint value proposition</x:t>
  </x:si>
  <x:si>
    <x:t xml:space="preserve">P-004</x:t>
  </x:si>
  <x:si>
    <x:t xml:space="preserve">Principles</x:t>
  </x:si>
  <x:si>
    <x:t xml:space="preserve">Kejelasan dibangun melalui batas yang tegas.</x:t>
  </x:si>
  <x:si>
    <x:t xml:space="preserve">Kami menjelaskan apa yang diketahui, apa yang masih perlu diverifikasi, dan apa yang berada di luar kendali penyedia jasa.</x:t>
  </x:si>
  <x:si>
    <x:t xml:space="preserve">• Scope dijelaskan berdasarkan kebutuhan
• Istilah legal-regulasi dibuat akurat dan mudah dipahami
• Ketidakpastian ditandai, bukan disembunyikan
• Keputusan otoritas tidak dijanjikan
• Bukti hanya digunakan setelah verifikasi dan consent</x:t>
  </x:si>
  <x:si>
    <x:t xml:space="preserve">Claim-discipline rules confirmed.</x:t>
  </x:si>
  <x:si>
    <x:t xml:space="preserve">Brand Guidelines; governance</x:t>
  </x:si>
  <x:si>
    <x:t xml:space="preserve">P-005</x:t>
  </x:si>
  <x:si>
    <x:t xml:space="preserve">Team directory</x:t>
  </x:si>
  <x:si>
    <x:t xml:space="preserve">Tim yang relevan untuk kebutuhan Anda.</x:t>
  </x:si>
  <x:si>
    <x:t xml:space="preserve">Profil tim hanya ditampilkan setelah identitas, peran resmi, credential, foto, bahasa, pengalaman, dan persetujuan publikasinya diverifikasi.</x:t>
  </x:si>
  <x:si>
    <x:t xml:space="preserve">• [NAMA ANGGOTA TIM YANG DISETUJUI]
• [PERAN RESMI]
• [EXPERTISE DAN CREDENTIAL TERVERIFIKASI]</x:t>
  </x:si>
  <x:si>
    <x:t xml:space="preserve">No real team profile has been approved for public launch.</x:t>
  </x:si>
  <x:si>
    <x:t xml:space="preserve">Kenali Tim</x:t>
  </x:si>
  <x:si>
    <x:t xml:space="preserve">Replace or remove before launch; keep noindex</x:t>
  </x:si>
  <x:si>
    <x:t xml:space="preserve">BLOCKED – VERIFIED TEAM DATA REQUIRED</x:t>
  </x:si>
  <x:si>
    <x:t xml:space="preserve">P-006</x:t>
  </x:si>
  <x:si>
    <x:t xml:space="preserve">Diskusikan konteks sebelum menentukan ruang lingkup.</x:t>
  </x:si>
  <x:si>
    <x:t xml:space="preserve">Review awal membantu memastikan kebutuhan, dokumen, dependensi, dan langkah berikutnya dipahami sebelum proposal disusun.</x:t>
  </x:si>
  <x:si>
    <x:t xml:space="preserve">Ruang lingkup, biaya, timeline, dan pihak ketiga dijelaskan sesuai kebutuhan yang telah direview.</x:t>
  </x:si>
  <x:si>
    <x:t xml:space="preserve">Commercial model exists; exact public prices/timelines are pending.</x:t>
  </x:si>
  <x:si>
    <x:t xml:space="preserve">FINAL WITH BOUNDARY</x:t>
  </x:si>
  <x:si>
    <x:t xml:space="preserve">Do not publish price/timeline figures</x:t>
  </x:si>
  <x:si>
    <x:t xml:space="preserve">Discovery</x:t>
  </x:si>
  <x:si>
    <x:t xml:space="preserve">PD-001</x:t>
  </x:si>
  <x:si>
    <x:t xml:space="preserve">Profile template hero</x:t>
  </x:si>
  <x:si>
    <x:t xml:space="preserve">[NAMA ANGGOTA TIM YANG DISETUJUI]</x:t>
  </x:si>
  <x:si>
    <x:t xml:space="preserve">[PERAN RESMI — MENUNGGU VERIFIKASI]</x:t>
  </x:si>
  <x:si>
    <x:t xml:space="preserve">• [AREA KEAHLIAN TERVERIFIKASI]
• [PENDIDIKAN / LISENSI / SERTIFIKASI TERVERIFIKASI]
• [BAHASA]
• [PENGALAMAN YANG DAPAT DIBUKTIKAN]</x:t>
  </x:si>
  <x:si>
    <x:t xml:space="preserve">All identity and credential fields require official evidence and consent.</x:t>
  </x:si>
  <x:si>
    <x:t xml:space="preserve">Kembali ke Profil</x:t>
  </x:si>
  <x:si>
    <x:t xml:space="preserve">Noindex; replace or remove before launch</x:t>
  </x:si>
  <x:si>
    <x:t xml:space="preserve">Dummy register</x:t>
  </x:si>
  <x:si>
    <x:t xml:space="preserve">BLOCKED – DO NOT LAUNCH</x:t>
  </x:si>
  <x:si>
    <x:t xml:space="preserve">S-001</x:t>
  </x:si>
  <x:si>
    <x:t xml:space="preserve">Empat jalur layanan untuk kebutuhan legal-regulasi bisnis.</x:t>
  </x:si>
  <x:si>
    <x:t xml:space="preserve">Pilih berdasarkan situasi bisnis Anda. Ruang lingkup final ditentukan setelah review awal atas kegiatan, data legal, lokasi, dokumen, tujuan, dan dependensi yang relevan.</x:t>
  </x:si>
  <x:si>
    <x:t xml:space="preserve">• Pendirian dan penataan legalitas
• OSS-RBA, KBLI, risk level, PB UMKU, dan izin sektoral
• Kepatuhan dan legal advisory dalam permit lifecycle
• Ekspansi, proyek, dan investasi</x:t>
  </x:si>
  <x:si>
    <x:t xml:space="preserve">Four approved service categories.</x:t>
  </x:si>
  <x:si>
    <x:t xml:space="preserve">S-002</x:t>
  </x:si>
  <x:si>
    <x:t xml:space="preserve">Decision guide</x:t>
  </x:si>
  <x:si>
    <x:t xml:space="preserve">Mulai dari situasi bisnis Anda.</x:t>
  </x:si>
  <x:si>
    <x:t xml:space="preserve">Kategori layanan membantu mengarahkan review awal, tetapi satu kebutuhan dapat melibatkan lebih dari satu kategori.</x:t>
  </x:si>
  <x:si>
    <x:t xml:space="preserve">• Mendirikan atau mengubah badan usaha
• Menambah atau mengubah kegiatan usaha
• Menilai NIB, KBLI, risk level, dan izin lanjutan
• Menangani ketidaksesuaian atau kewajiban pascaizin
• Menyiapkan ekspansi, proyek, atau investasi</x:t>
  </x:si>
  <x:si>
    <x:t xml:space="preserve">Use-case triggers confirmed in Discovery.</x:t>
  </x:si>
  <x:si>
    <x:t xml:space="preserve">Temukan Kategori yang Relevan</x:t>
  </x:si>
  <x:si>
    <x:t xml:space="preserve">Discovery user triggers</x:t>
  </x:si>
  <x:si>
    <x:t xml:space="preserve">S-003</x:t>
  </x:si>
  <x:si>
    <x:t xml:space="preserve">Service category</x:t>
  </x:si>
  <x:si>
    <x:t xml:space="preserve">Relevan untuk pendirian, perubahan struktur, perubahan data korporasi, atau penataan fondasi legal sebelum kegiatan berjalan.</x:t>
  </x:si>
  <x:si>
    <x:t xml:space="preserve">Kategori disetujui; deliverable, exclusion, dan checklist final masih menunggu approval.</x:t>
  </x:si>
  <x:si>
    <x:t xml:space="preserve">Bahas Kebutuhan Ini</x:t>
  </x:si>
  <x:si>
    <x:t xml:space="preserve">Detailed scope pending</x:t>
  </x:si>
  <x:si>
    <x:t xml:space="preserve">S-004</x:t>
  </x:si>
  <x:si>
    <x:t xml:space="preserve">Membantu pemetaan KBLI, tingkat risiko, OSS-RBA, PB UMKU, pemenuhan persyaratan, dan izin sektoral yang relevan.</x:t>
  </x:si>
  <x:si>
    <x:t xml:space="preserve">Relevan ketika kegiatan, lokasi, produk, atau data OSS perlu dinilai untuk menentukan persyaratan lanjutan.</x:t>
  </x:si>
  <x:si>
    <x:t xml:space="preserve">Kategori disetujui; coverage sektoral spesifik perlu validasi.</x:t>
  </x:si>
  <x:si>
    <x:t xml:space="preserve">Sector coverage pending</x:t>
  </x:si>
  <x:si>
    <x:t xml:space="preserve">S-005</x:t>
  </x:si>
  <x:si>
    <x:t xml:space="preserve">Mendukung review kepatuhan, risiko regulasi, kesesuaian data legal-operasional, kewajiban pascaizin, dan legal support dalam permit lifecycle.</x:t>
  </x:si>
  <x:si>
    <x:t xml:space="preserve">Relevan untuk review berkala, monitoring, regularisasi, risiko sanksi administratif, atau dukungan berkelanjutan.</x:t>
  </x:si>
  <x:si>
    <x:t xml:space="preserve">Kategori disetujui; scope retainer, SOP, dan legal reviewer perlu dilengkapi.</x:t>
  </x:si>
  <x:si>
    <x:t xml:space="preserve">Retainer/SOP/reviewer pending</x:t>
  </x:si>
  <x:si>
    <x:t xml:space="preserve">S-006</x:t>
  </x:si>
  <x:si>
    <x:t xml:space="preserve">Membantu memetakan dan mengoordinasikan kebutuhan izin, dokumen, dan dependensi untuk ekspansi, proyek, dan investasi di Indonesia.</x:t>
  </x:si>
  <x:si>
    <x:t xml:space="preserve">Relevan ketika rencana melibatkan lokasi, tata ruang, entitas, kegiatan, sektor, lingkungan, bangunan, atau tahapan operasional yang saling terkait.</x:t>
  </x:si>
  <x:si>
    <x:t xml:space="preserve">Kategori disetujui; contoh sektor dan proyek perlu persetujuan sebelum dipublikasikan.</x:t>
  </x:si>
  <x:si>
    <x:t xml:space="preserve">S-007</x:t>
  </x:si>
  <x:si>
    <x:t xml:space="preserve">Initial information</x:t>
  </x:si>
  <x:si>
    <x:t xml:space="preserve">Informasi awal yang membantu asesmen.</x:t>
  </x:si>
  <x:si>
    <x:t xml:space="preserve">Semakin jelas konteks awal, semakin mudah tim menentukan pertanyaan lanjutan dan kemungkinan ruang lingkup.</x:t>
  </x:si>
  <x:si>
    <x:t xml:space="preserve">• Kegiatan usaha atau aksi entitas yang direncanakan
• Lokasi kegiatan atau proyek
• Dokumen badan usaha dan data legal yang tersedia
• KBLI, NIB, atau data OSS apabila ada
• Target waktu dan kondisi yang sedang dihadapi
• Hanya dokumen awal yang aman dibagikan</x:t>
  </x:si>
  <x:si>
    <x:t xml:space="preserve">Initial inquiry inputs confirmed in Discovery.</x:t>
  </x:si>
  <x:si>
    <x:t xml:space="preserve">Siapkan Informasi Anda</x:t>
  </x:si>
  <x:si>
    <x:t xml:space="preserve">S-008</x:t>
  </x:si>
  <x:si>
    <x:t xml:space="preserve">Scope boundary</x:t>
  </x:si>
  <x:si>
    <x:t xml:space="preserve">Ruang lingkup mengikuti fakta setiap kebutuhan.</x:t>
  </x:si>
  <x:si>
    <x:t xml:space="preserve">Deliverable, exclusion, timeline, biaya, PNBP, kebutuhan pihak ketiga, dan dependensi ditentukan setelah review awal dan dituangkan dalam proposal apabila kebutuhan dapat ditangani.</x:t>
  </x:si>
  <x:si>
    <x:t xml:space="preserve">Keputusan, waktu proses, dan hasil yang dikendalikan otoritas tidak dapat dijamin.</x:t>
  </x:si>
  <x:si>
    <x:t xml:space="preserve">Commercial flow is documented; figures and service-level promises are not approved for publication.</x:t>
  </x:si>
  <x:si>
    <x:t xml:space="preserve">Ajukan Review Awal</x:t>
  </x:si>
  <x:si>
    <x:t xml:space="preserve">Exact prices/timelines pending</x:t>
  </x:si>
  <x:si>
    <x:t xml:space="preserve">Discovery; claim governance</x:t>
  </x:si>
  <x:si>
    <x:t xml:space="preserve">E-001</x:t>
  </x:si>
  <x:si>
    <x:t xml:space="preserve">Pengalaman yang dapat diperiksa.</x:t>
  </x:si>
  <x:si>
    <x:t xml:space="preserve">Bagian ini hanya memuat case study yang konteks, ruang lingkup, pendekatan, output, bukti, dan izin publikasinya telah disetujui.</x:t>
  </x:si>
  <x:si>
    <x:t xml:space="preserve">Identitas klien, logo, testimoni, metrik, dan hasil tidak boleh digunakan tanpa evidence dan consent.</x:t>
  </x:si>
  <x:si>
    <x:t xml:space="preserve">No approved public cases are available in the supplied sources.</x:t>
  </x:si>
  <x:si>
    <x:t xml:space="preserve">Remove section at launch if approved evidence is unavailable</x:t>
  </x:si>
  <x:si>
    <x:t xml:space="preserve">BLOCKED – DO NOT LAUNCH AS FACT</x:t>
  </x:si>
  <x:si>
    <x:t xml:space="preserve">E-002</x:t>
  </x:si>
  <x:si>
    <x:t xml:space="preserve">Case card template</x:t>
  </x:si>
  <x:si>
    <x:t xml:space="preserve">[JUDUL CASE STUDY YANG DISETUJUI]</x:t>
  </x:si>
  <x:si>
    <x:t xml:space="preserve">[SITUASI BISNIS DAN KEBUTUHAN — TANPA INFORMASI RAHASIA]</x:t>
  </x:si>
  <x:si>
    <x:t xml:space="preserve">• Scope: [RUANG LINGKUP TERVERIFIKASI]
• Approach: [LANGKAH YANG DAPAT DIJELASKAN]
• Output: [DELIVERABLE TERVERIFIKASI]
• Evidence: [BUKTI DAN CONSENT]</x:t>
  </x:si>
  <x:si>
    <x:t xml:space="preserve">Evidence owner and publication consent required.</x:t>
  </x:si>
  <x:si>
    <x:t xml:space="preserve">Bahas Situasi Serupa</x:t>
  </x:si>
  <x:si>
    <x:t xml:space="preserve">One row per approved case; no unsupported outcome language</x:t>
  </x:si>
  <x:si>
    <x:t xml:space="preserve">BLOCKED – EVIDENCE + CONSENT REQUIRED</x:t>
  </x:si>
  <x:si>
    <x:t xml:space="preserve">B-001</x:t>
  </x:si>
  <x:si>
    <x:t xml:space="preserve">Insight legal-regulasi untuk keputusan yang lebih siap.</x:t>
  </x:si>
  <x:si>
    <x:t xml:space="preserve">Temukan orientasi umum mengenai legalitas usaha, OSS-RBA dan KBLI, izin sektoral, kepatuhan, serta perizinan proyek dan investasi di Indonesia.</x:t>
  </x:si>
  <x:si>
    <x:t xml:space="preserve">Konten tidak menggantikan review atas fakta dan dokumen untuk kebutuhan tertentu.</x:t>
  </x:si>
  <x:si>
    <x:t xml:space="preserve">Article structure approved; current articles are preview-only.</x:t>
  </x:si>
  <x:si>
    <x:t xml:space="preserve">Ajukan Pertanyaan</x:t>
  </x:si>
  <x:si>
    <x:t xml:space="preserve">FINAL FRAMEWORK / PREVIEW ONLY</x:t>
  </x:si>
  <x:si>
    <x:t xml:space="preserve">Actual articles require review</x:t>
  </x:si>
  <x:si>
    <x:t xml:space="preserve">B-002</x:t>
  </x:si>
  <x:si>
    <x:t xml:space="preserve">Article card template</x:t>
  </x:si>
  <x:si>
    <x:t xml:space="preserve">[JUDUL ARTIKEL YANG TELAH DIREVIEW]</x:t>
  </x:si>
  <x:si>
    <x:t xml:space="preserve">[RINGKASAN YANG MENJELASKAN TOPIK, RELEVANSI BISNIS, DAN BATAS PENERAPAN]</x:t>
  </x:si>
  <x:si>
    <x:t xml:space="preserve">• Sumber: [SUMBER RESMI / PRIMER]
• Reviewer: [NAMA DAN PERAN YANG DISETUJUI]
• Tanggal review: [TANGGAL]
• Status: [REVIEWED / UPDATE REQUIRED]</x:t>
  </x:si>
  <x:si>
    <x:t xml:space="preserve">Reviewer and source metadata required.</x:t>
  </x:si>
  <x:si>
    <x:t xml:space="preserve">PLACEHOLDER – PREVIEW ONLY</x:t>
  </x:si>
  <x:si>
    <x:t xml:space="preserve">Do not launch until legal/editorial review</x:t>
  </x:si>
  <x:si>
    <x:t xml:space="preserve">BLOCKED – REVIEW REQUIRED</x:t>
  </x:si>
  <x:si>
    <x:t xml:space="preserve">A-001</x:t>
  </x:si>
  <x:si>
    <x:t xml:space="preserve">Article template</x:t>
  </x:si>
  <x:si>
    <x:t xml:space="preserve">[LEAD: APA YANG PERLU DIPAHAMI DAN MENGAPA RELEVAN BAGI KEPUTUSAN BISNIS]</x:t>
  </x:si>
  <x:si>
    <x:t xml:space="preserve">1. Apa yang perlu dipahami
2. Mengapa hal ini relevan
3. Informasi atau dokumen yang perlu disiapkan
4. Batas penerapan dan pengecualian
5. Langkah berikutnya
6. Sumber resmi, reviewer, dan tanggal review</x:t>
  </x:si>
  <x:si>
    <x:t xml:space="preserve">Substantive legal copy, sources, reviewer, and date are not yet approved.</x:t>
  </x:si>
  <x:si>
    <x:t xml:space="preserve">Diskusikan Kebutuhan Spesifik</x:t>
  </x:si>
  <x:si>
    <x:t xml:space="preserve">Kembali ke Insight</x:t>
  </x:si>
  <x:si>
    <x:t xml:space="preserve">No article may launch without legal/editorial review</x:t>
  </x:si>
  <x:si>
    <x:t xml:space="preserve">C-001</x:t>
  </x:si>
  <x:si>
    <x:t xml:space="preserve">Ceritakan kebutuhan legal-regulasi bisnis Anda.</x:t>
  </x:si>
  <x:si>
    <x:t xml:space="preserve">Kirimkan konteks awal agar tim dapat menilai kesesuaian kebutuhan, pertanyaan klarifikasi, dan langkah berikutnya.</x:t>
  </x:si>
  <x:si>
    <x:t xml:space="preserve">Informasi yang relevan: kegiatan usaha, lokasi, kondisi legal, dokumen yang tersedia, kebutuhan, serta target waktu yang realistis.</x:t>
  </x:si>
  <x:si>
    <x:t xml:space="preserve">Initial inquiry criteria confirmed.</x:t>
  </x:si>
  <x:si>
    <x:t xml:space="preserve">Contact form submit</x:t>
  </x:si>
  <x:si>
    <x:t xml:space="preserve">Discovery; routing</x:t>
  </x:si>
  <x:si>
    <x:t xml:space="preserve">C-002</x:t>
  </x:si>
  <x:si>
    <x:t xml:space="preserve">Preparation</x:t>
  </x:si>
  <x:si>
    <x:t xml:space="preserve">Informasi yang membantu review awal.</x:t>
  </x:si>
  <x:si>
    <x:t xml:space="preserve">Anda tidak perlu mengetahui nama izin secara pasti. Mulailah dari kegiatan dan kondisi bisnis.</x:t>
  </x:si>
  <x:si>
    <x:t xml:space="preserve">• Apa yang akan didirikan, diubah, dijalankan, atau diperluas
• Lokasi kegiatan atau proyek
• Badan usaha dan data legal yang tersedia
• KBLI, NIB, atau OSS apabila ada
• Kendala yang sedang dihadapi
• Target waktu
• Dokumen awal yang aman dibagikan</x:t>
  </x:si>
  <x:si>
    <x:t xml:space="preserve">Initial inquiry inputs confirmed.</x:t>
  </x:si>
  <x:si>
    <x:t xml:space="preserve">Isi Formulir</x:t>
  </x:si>
  <x:si>
    <x:t xml:space="preserve">C-003</x:t>
  </x:si>
  <x:si>
    <x:t xml:space="preserve">After inquiry</x:t>
  </x:si>
  <x:si>
    <x:t xml:space="preserve">Apa yang terjadi setelah inquiry dikirim.</x:t>
  </x:si>
  <x:si>
    <x:t xml:space="preserve">Setiap permintaan dimulai dengan review awal untuk menilai konteks dan kesesuaiannya.</x:t>
  </x:si>
  <x:si>
    <x:t xml:space="preserve">1. Review awal kebutuhan
2. Klarifikasi informasi atau dokumen
3. Penjadwalan konsultasi
4. Proposal ruang lingkup dan biaya apabila sesuai
5. Persetujuan, pembayaran, dan pengerjaan mengikuti proposal yang disepakati</x:t>
  </x:si>
  <x:si>
    <x:t xml:space="preserve">First four stages confirmed in Discovery; later commercial stages follow the documented engagement model.</x:t>
  </x:si>
  <x:si>
    <x:t xml:space="preserve">FINAL WITH OPERATIONAL REVIEW</x:t>
  </x:si>
  <x:si>
    <x:t xml:space="preserve">Public response SLA not approved</x:t>
  </x:si>
  <x:si>
    <x:t xml:space="preserve">Discovery; engagement model</x:t>
  </x:si>
  <x:si>
    <x:t xml:space="preserve">C-004</x:t>
  </x:si>
  <x:si>
    <x:t xml:space="preserve">Request boundary</x:t>
  </x:si>
  <x:si>
    <x:t xml:space="preserve">Batas permintaan yang dapat ditangani.</x:t>
  </x:si>
  <x:si>
    <x:t xml:space="preserve">Website tidak digunakan untuk keadaan darurat hukum pada hari yang sama, permintaan jaminan hasil otoritas, manipulasi dokumen, atau tindakan yang melanggar hukum dan etika.</x:t>
  </x:si>
  <x:si>
    <x:t xml:space="preserve">Unsuitable request criteria confirmed in Discovery.</x:t>
  </x:si>
  <x:si>
    <x:t xml:space="preserve">Hubungi melalui Formulir</x:t>
  </x:si>
  <x:si>
    <x:t xml:space="preserve">C-005</x:t>
  </x:si>
  <x:si>
    <x:t xml:space="preserve">Contact alternatives</x:t>
  </x:si>
  <x:si>
    <x:t xml:space="preserve">Kontak publik Galdino &amp; Partner</x:t>
  </x:si>
  <x:si>
    <x:t xml:space="preserve">[EMAIL, NOMOR TELEPON/WHATSAPP, DAN ALAMAT JALAN LENGKAP MENUNGGU PERSETUJUAN. JANGAN GUNAKAN KONTAK PROYEK/KULTIVATE SEBAGAI KONTAK PUBLIK FINAL.]</x:t>
  </x:si>
  <x:si>
    <x:t xml:space="preserve">Lokasi terkonfirmasi: Kota Tangerang, Banten, Indonesia.</x:t>
  </x:si>
  <x:si>
    <x:t xml:space="preserve">Public firm contact details are not yet approved.</x:t>
  </x:si>
  <x:si>
    <x:t xml:space="preserve">Approve public contact details</x:t>
  </x:si>
  <x:si>
    <x:t xml:space="preserve">BLOCKED – CONTACT APPROVAL REQUIRED</x:t>
  </x:si>
  <x:si>
    <x:t xml:space="preserve">SD1-001</x:t>
  </x:si>
  <x:si>
    <x:t xml:space="preserve">Hero + scope template</x:t>
  </x:si>
  <x:si>
    <x:t xml:space="preserve">Fondasi legal yang selaras dengan rencana operasional.</x:t>
  </x:si>
  <x:si>
    <x:t xml:space="preserve">Halaman ini akan menjelaskan bagaimana kebutuhan pendirian atau perubahan badan usaha, dokumen korporasi, NIB, KBLI, dan kesiapan awal operasional ditinjau sesuai konteks bisnis.</x:t>
  </x:si>
  <x:si>
    <x:t xml:space="preserve">• Use case yang dapat ditangani: [MENUNGGU APPROVAL]
• Deliverable: [MENUNGGU APPROVAL]
• Exclusion: [MENUNGGU APPROVAL]
• Checklist dokumen: [MENUNGGU APPROVAL]
• Timeline, biaya, PNBP, pihak ketiga, dependensi: [MENUNGGU REVIEW]</x:t>
  </x:si>
  <x:si>
    <x:t xml:space="preserve">Category-level scope approved; operational details incomplete.</x:t>
  </x:si>
  <x:si>
    <x:t xml:space="preserve">Kembali ke Layanan</x:t>
  </x:si>
  <x:si>
    <x:t xml:space="preserve">BACKLOG – PLACEHOLDER</x:t>
  </x:si>
  <x:si>
    <x:t xml:space="preserve">Complete scope and obtain approval before route implementation</x:t>
  </x:si>
  <x:si>
    <x:t xml:space="preserve">Blueprint; missing information</x:t>
  </x:si>
  <x:si>
    <x:t xml:space="preserve">BLOCKED – CONTENT DEPENDENCIES</x:t>
  </x:si>
  <x:si>
    <x:t xml:space="preserve">SD2-001</x:t>
  </x:si>
  <x:si>
    <x:t xml:space="preserve">Petakan kegiatan, KBLI, tingkat risiko, dan izin lanjutannya.</x:t>
  </x:si>
  <x:si>
    <x:t xml:space="preserve">Halaman ini akan menjelaskan hubungan antara kegiatan usaha, KBLI, risk level, OSS-RBA, NIB, Sertifikat Standar, Izin, PB UMKU, pemenuhan komitmen, dan izin sektoral yang relevan.</x:t>
  </x:si>
  <x:si>
    <x:t xml:space="preserve">• Coverage sektoral: [MENUNGGU VALIDASI]
• Deliverable dan exclusion: [MENUNGGU APPROVAL]
• Checklist dokumen dan data OSS: [MENUNGGU APPROVAL]
• Timeline, biaya, PNBP, otoritas, dependensi: [MENUNGGU REVIEW]</x:t>
  </x:si>
  <x:si>
    <x:t xml:space="preserve">Category-level scope approved; no sector-specific coverage approved.</x:t>
  </x:si>
  <x:si>
    <x:t xml:space="preserve">Validate coverage and complete scope before route implementation</x:t>
  </x:si>
  <x:si>
    <x:t xml:space="preserve">SD3-001</x:t>
  </x:si>
  <x:si>
    <x:t xml:space="preserve">Tinjau kepatuhan sepanjang permit lifecycle.</x:t>
  </x:si>
  <x:si>
    <x:t xml:space="preserve">Halaman ini akan menjelaskan review kesesuaian data legal-operasional, kewajiban pascaizin, monitoring, regularisasi, risiko regulasi, dan dukungan hukum yang terkait dengan kelangsungan usaha.</x:t>
  </x:si>
  <x:si>
    <x:t xml:space="preserve">• Review scope dan output: [MENUNGGU APPROVAL]
• Retainer dan cadence: [MENUNGGU APPROVAL]
• SOP, escalation, dan legal reviewer: [MENUNGGU APPROVAL]
• Exclusion, timeline, biaya, dependensi: [MENUNGGU REVIEW]</x:t>
  </x:si>
  <x:si>
    <x:t xml:space="preserve">Category-level scope approved; retainer and reviewer details incomplete.</x:t>
  </x:si>
  <x:si>
    <x:t xml:space="preserve">Approve retainer/SOP/reviewer model before route implementation</x:t>
  </x:si>
  <x:si>
    <x:t xml:space="preserve">SD4-001</x:t>
  </x:si>
  <x:si>
    <x:t xml:space="preserve">Susun jalur izin untuk ekspansi, proyek, dan investasi.</x:t>
  </x:si>
  <x:si>
    <x:t xml:space="preserve">Halaman ini akan menjelaskan asesmen awal, kegiatan dan KBLI, lokasi, tata ruang, entitas, dokumen, izin lingkungan atau bangunan yang relevan, kebutuhan sektoral, koordinasi, monitoring, dan tindak lanjut.</x:t>
  </x:si>
  <x:si>
    <x:t xml:space="preserve">• Tipe proyek/sektor: [MENUNGGU APPROVAL]
• Deliverable dan exclusion: [MENUNGGU APPROVAL]
• Otoritas dan dependensi lintas dokumen: [MENUNGGU VALIDASI]
• Timeline, biaya, PNBP, pihak ketiga: [MENUNGGU REVIEW]</x:t>
  </x:si>
  <x:si>
    <x:t xml:space="preserve">Category-level scope approved; examples and operational details incomplete.</x:t>
  </x:si>
  <x:si>
    <x:t xml:space="preserve">Approve examples and complete scope before route implementation</x:t>
  </x:si>
  <x:si>
    <x:t xml:space="preserve">FAQ-001</x:t>
  </x:si>
  <x:si>
    <x:t xml:space="preserve">FAQ framework</x:t>
  </x:si>
  <x:si>
    <x:t xml:space="preserve">Pertanyaan umum sebelum memulai.</x:t>
  </x:si>
  <x:si>
    <x:t xml:space="preserve">FAQ hanya menjawab orientasi umum. Jawaban final harus ditinjau agar tidak menggantikan asesmen berdasarkan kegiatan, lokasi, dokumen, dan fakta setiap kebutuhan.</x:t>
  </x:si>
  <x:si>
    <x:t xml:space="preserve">• Apakah NIB selalu cukup?
• Bagaimana menentukan KBLI dan risk level?
• Dokumen awal apa yang perlu disiapkan?
• Bagaimana scope, biaya, dan timeline ditentukan?
• Apakah hasil atau waktu proses dapat dijamin?
• Apa yang terjadi setelah inquiry dikirim?</x:t>
  </x:si>
  <x:si>
    <x:t xml:space="preserve">Question set drafted; answers not approved.</x:t>
  </x:si>
  <x:si>
    <x:t xml:space="preserve">Ajukan Pertanyaan Spesifik</x:t>
  </x:si>
  <x:si>
    <x:t xml:space="preserve">BACKLOG – QUESTIONS ONLY</x:t>
  </x:si>
  <x:si>
    <x:t xml:space="preserve">Legal/operational answers required</x:t>
  </x:si>
  <x:si>
    <x:t xml:space="preserve">FAQ gap</x:t>
  </x:si>
  <x:si>
    <x:t xml:space="preserve">PRIV-001</x:t>
  </x:si>
  <x:si>
    <x:t xml:space="preserve">Policy gate</x:t>
  </x:si>
  <x:si>
    <x:t xml:space="preserve">Privacy Policy — belum tersedia.</x:t>
  </x:si>
  <x:si>
    <x:t xml:space="preserve">Copy kebijakan tidak dibuat karena data controller, tujuan dan dasar pemrosesan, retention, security, third parties, cookies, user rights, serta kanal privacy belum dikonfirmasi dan ditinjau secara legal.</x:t>
  </x:si>
  <x:si>
    <x:t xml:space="preserve">Jangan menampilkan consent final atau mengaktifkan route Privacy Policy sebelum kebijakan disetujui dan sesuai dengan data flow aktual.</x:t>
  </x:si>
  <x:si>
    <x:t xml:space="preserve">No approved privacy policy or complete verified data-flow basis is available.</x:t>
  </x:si>
  <x:si>
    <x:t xml:space="preserve">TIDAK BOLEH TAYANG</x:t>
  </x:si>
  <x:si>
    <x:t xml:space="preserve">Legal drafting + data-flow confirmation required</x:t>
  </x:si>
  <x:si>
    <x:t xml:space="preserve">Master Alignment; privacy gap</x:t>
  </x:si>
  <x:si>
    <x:t xml:space="preserve">BLOCKED – LAUNCH BLOCKER</x:t>
  </x:si>
  <x:si>
    <x:t xml:space="preserve">TERM-001</x:t>
  </x:si>
  <x:si>
    <x:t xml:space="preserve">Terms gate</x:t>
  </x:si>
  <x:si>
    <x:t xml:space="preserve">Terms &amp; Disclaimer — belum tersedia.</x:t>
  </x:si>
  <x:si>
    <x:t xml:space="preserve">Ketentuan penggunaan tidak dibuat karena batas penggunaan, pembentukan hubungan profesional, intellectual property, third-party links, liability, governing law, dan proses perubahan belum disetujui melalui legal review.</x:t>
  </x:si>
  <x:si>
    <x:t xml:space="preserve">Disclaimer umum pada bagian GLOBAL dapat digunakan sebagai boundary sementara, tetapi tidak menggantikan Terms &amp; Disclaimer final.</x:t>
  </x:si>
  <x:si>
    <x:t xml:space="preserve">No approved terms are available.</x:t>
  </x:si>
  <x:si>
    <x:t xml:space="preserve">Legal drafting and approval required</x:t>
  </x:si>
  <x:si>
    <x:t xml:space="preserve">Master Alignment; terms gap</x:t>
  </x:si>
  <x:si>
    <x:t xml:space="preserve">FASE 2 — WEBSITE CONTENT SHEET (ENGLISH)</x:t>
  </x:si>
  <x:si>
    <x:t xml:space="preserve">Natural English equivalent of the Indonesian content. Official Indonesian legal terms are retained where translation could create ambiguity.</x:t>
  </x:si>
  <x:si>
    <x:t xml:space="preserve">A clearer licensing path for your business decisions.</x:t>
  </x:si>
  <x:si>
    <x:t xml:space="preserve">Galdino &amp; Partner helps companies, business owners, and investors map legal-regulatory requirements, prepare documents, coordinate the process, monitor progress, and follow up on business activities in Indonesia.</x:t>
  </x:si>
  <x:si>
    <x:t xml:space="preserve">• Start with the business activity and objective
• Map relevant KBLI, risk level, permits, and documents
• Define the next step without promising an authority-controlled outcome</x:t>
  </x:si>
  <x:si>
    <x:t xml:space="preserve">Legal operator: PT Karya Usaha Sukses; established in 2015; domiciled in Kota Tangerang, Banten, Indonesia.</x:t>
  </x:si>
  <x:si>
    <x:t xml:space="preserve">Licensing requirements change with your business activity.</x:t>
  </x:si>
  <x:si>
    <x:t xml:space="preserve">Establishing an entity, changing activities, expanding to a new location, obtaining sectoral permits, and meeting post-permit obligations may involve different classifications, documents, sequences, and authorities.</x:t>
  </x:si>
  <x:si>
    <x:t xml:space="preserve">• Business activity and operating model
• Entity structure and legal data
• Location, product, sector, and operating stage
• Obligations before and after a permit is issued</x:t>
  </x:si>
  <x:si>
    <x:t xml:space="preserve">Explore Service Categories</x:t>
  </x:si>
  <x:si>
    <x:t xml:space="preserve">Four categories. One ordered working path.</x:t>
  </x:si>
  <x:si>
    <x:t xml:space="preserve">The website groups legal-regulatory needs into four primary categories so users can start from their business situation rather than a disconnected list of permits.</x:t>
  </x:si>
  <x:si>
    <x:t xml:space="preserve">• Business Establishment &amp; Legality
• Risk-Based Licensing
• Compliance &amp; Legal Advisory
• Project &amp; Investment Licensing</x:t>
  </x:si>
  <x:si>
    <x:t xml:space="preserve">View All Services</x:t>
  </x:si>
  <x:si>
    <x:t xml:space="preserve">Business Establishment &amp; Legality</x:t>
  </x:si>
  <x:si>
    <x:t xml:space="preserve">Support for establishing and structuring a business’s legal foundation, corporate documents, NIB, and initial operational requirements.</x:t>
  </x:si>
  <x:si>
    <x:t xml:space="preserve">Use this category for establishment, structural changes, or initial legal-data alignment.</x:t>
  </x:si>
  <x:si>
    <x:t xml:space="preserve">Discuss Your Need</x:t>
  </x:si>
  <x:si>
    <x:t xml:space="preserve">Risk-Based Licensing</x:t>
  </x:si>
  <x:si>
    <x:t xml:space="preserve">Support for mapping KBLI, risk level, OSS-RBA, PB UMKU, and sectoral permits relevant to the business activity.</x:t>
  </x:si>
  <x:si>
    <x:t xml:space="preserve">Use this category when assessing whether NIB is sufficient or further requirements apply.</x:t>
  </x:si>
  <x:si>
    <x:t xml:space="preserve">Compliance &amp; Legal Advisory</x:t>
  </x:si>
  <x:si>
    <x:t xml:space="preserve">Support for compliance reviews, regulatory risk, and legal needs connected to the permit lifecycle and operational continuity.</x:t>
  </x:si>
  <x:si>
    <x:t xml:space="preserve">Use this category for data mismatches, post-permit obligations, periodic reviews, or ongoing support.</x:t>
  </x:si>
  <x:si>
    <x:t xml:space="preserve">Project &amp; Investment Licensing</x:t>
  </x:si>
  <x:si>
    <x:t xml:space="preserve">Support for mapping and coordinating licensing pathways for expansion, projects, investments, and cross-document requirements in Indonesia.</x:t>
  </x:si>
  <x:si>
    <x:t xml:space="preserve">Use this category when a plan involves interconnected locations, activities, entities, sectors, or project stages.</x:t>
  </x:si>
  <x:si>
    <x:t xml:space="preserve">From a business need to actionable next steps.</x:t>
  </x:si>
  <x:si>
    <x:t xml:space="preserve">The working approach starts by understanding the context, then building a documented sequence of requirements and follow-up actions.</x:t>
  </x:si>
  <x:si>
    <x:t xml:space="preserve">1. Assess — understand the activity, location, objective, and starting condition
2. Map — map KBLI, risk, permits, documents, and dependencies
3. Prepare — prepare required documents and evidence
4. Coordinate — coordinate the pathway and communications
5. Monitor — monitor progress, additional needs, and changes
6. Follow Up — follow up on outcomes, obligations, or corrections</x:t>
  </x:si>
  <x:si>
    <x:t xml:space="preserve">Start an Initial Review</x:t>
  </x:si>
  <x:si>
    <x:t xml:space="preserve">Clear identity. Verifiable claims.</x:t>
  </x:si>
  <x:si>
    <x:t xml:space="preserve">The website does not publish statistics, project outcomes, client logos, testimonials, prices, or timelines as facts before evidence and approval are available.</x:t>
  </x:si>
  <x:si>
    <x:t xml:space="preserve">View Our Profile</x:t>
  </x:si>
  <x:si>
    <x:t xml:space="preserve">Experience explained through context, not unsupported numbers.</x:t>
  </x:si>
  <x:si>
    <x:t xml:space="preserve">A case study may only be published after its context, scope, approach, output, evidence, and publication consent have been approved.</x:t>
  </x:si>
  <x:si>
    <x:t xml:space="preserve">• [APPROVED CASE STUDY]
• [VERIFIABLE SCOPE AND OUTPUT]
• [EVIDENCE / PUBLICATION CONSENT]</x:t>
  </x:si>
  <x:si>
    <x:t xml:space="preserve">View Our Experience</x:t>
  </x:si>
  <x:si>
    <x:t xml:space="preserve">Insights to understand the context before taking action.</x:t>
  </x:si>
  <x:si>
    <x:t xml:space="preserve">Articles provide general orientation on business legality, OSS-RBA and KBLI, sectoral permits, compliance, and project and investment licensing.</x:t>
  </x:si>
  <x:si>
    <x:t xml:space="preserve">Each article must include sources, a review date, an authorised reviewer, and clear limits of application.</x:t>
  </x:si>
  <x:si>
    <x:t xml:space="preserve">Explore Insights</x:t>
  </x:si>
  <x:si>
    <x:t xml:space="preserve">Start with your business context.</x:t>
  </x:si>
  <x:si>
    <x:t xml:space="preserve">Tell us about the business activity, location, document status, need, and target timing. This information helps the team conduct an initial review before defining the next scope.</x:t>
  </x:si>
  <x:si>
    <x:t xml:space="preserve">A legal-regulatory partner for more directed business action.</x:t>
  </x:si>
  <x:si>
    <x:t xml:space="preserve">We help decision-makers turn complex licensing needs into clearer, documented, and actionable working steps.</x:t>
  </x:si>
  <x:si>
    <x:t xml:space="preserve">• Permit handling first
• Legal capability in support
• Process clarity without promising authority-controlled outcomes</x:t>
  </x:si>
  <x:si>
    <x:t xml:space="preserve">Operated by a confirmed legal entity.</x:t>
  </x:si>
  <x:si>
    <x:t xml:space="preserve">• Public brand: Galdino &amp; Partner
• Descriptor: Galdino &amp; Partner by Kultivate
• Registration number: pending official-document verification and not published as fact</x:t>
  </x:si>
  <x:si>
    <x:t xml:space="preserve">We start with the business activity, not only a list of permits.</x:t>
  </x:si>
  <x:si>
    <x:t xml:space="preserve">Licensing needs are assessed based on the activity, entity structure, location, product or sector, document condition, risk level, and operational or investment objective.</x:t>
  </x:si>
  <x:si>
    <x:t xml:space="preserve">• Understand the context and problem
• Map requirements and dependencies
• Prepare documents
• Coordinate and monitor the process
• Follow up</x:t>
  </x:si>
  <x:si>
    <x:t xml:space="preserve">See How We Support</x:t>
  </x:si>
  <x:si>
    <x:t xml:space="preserve">Clarity is built through explicit boundaries.</x:t>
  </x:si>
  <x:si>
    <x:t xml:space="preserve">We explain what is known, what still requires verification, and what remains outside the service provider’s control.</x:t>
  </x:si>
  <x:si>
    <x:t xml:space="preserve">• Scope is defined based on the need
• Legal-regulatory terms remain accurate and understandable
• Uncertainty is labelled, not hidden
• Authority decisions are not promised
• Evidence is used only after verification and consent</x:t>
  </x:si>
  <x:si>
    <x:t xml:space="preserve">The team relevant to your need.</x:t>
  </x:si>
  <x:si>
    <x:t xml:space="preserve">Team profiles are published only after the person’s identity, official role, credentials, photo, languages, experience, and publication consent have been verified.</x:t>
  </x:si>
  <x:si>
    <x:t xml:space="preserve">• [APPROVED TEAM MEMBER]
• [OFFICIAL ROLE]
• [VERIFIED EXPERTISE AND CREDENTIALS]</x:t>
  </x:si>
  <x:si>
    <x:t xml:space="preserve">Meet the Team</x:t>
  </x:si>
  <x:si>
    <x:t xml:space="preserve">Discuss the context before defining the scope.</x:t>
  </x:si>
  <x:si>
    <x:t xml:space="preserve">An initial review helps clarify the need, documents, dependencies, and next step before a proposal is prepared.</x:t>
  </x:si>
  <x:si>
    <x:t xml:space="preserve">Scope, fees, timing, and third-party involvement are explained based on the reviewed need.</x:t>
  </x:si>
  <x:si>
    <x:t xml:space="preserve">[APPROVED TEAM MEMBER NAME]</x:t>
  </x:si>
  <x:si>
    <x:t xml:space="preserve">[OFFICIAL ROLE — PENDING VERIFICATION]</x:t>
  </x:si>
  <x:si>
    <x:t xml:space="preserve">• [VERIFIED AREAS OF EXPERTISE]
• [VERIFIED EDUCATION / LICENCES / CERTIFICATIONS]
• [LANGUAGES]
• [EVIDENCE-BASED EXPERIENCE]</x:t>
  </x:si>
  <x:si>
    <x:t xml:space="preserve">Back to Profile</x:t>
  </x:si>
  <x:si>
    <x:t xml:space="preserve">Four service paths for business licensing and legal-regulatory needs.</x:t>
  </x:si>
  <x:si>
    <x:t xml:space="preserve">Choose based on your business situation. Final scope is defined after an initial review of the activity, legal data, location, documents, objectives, and relevant dependencies.</x:t>
  </x:si>
  <x:si>
    <x:t xml:space="preserve">• Establishment and legal-structure alignment
• OSS-RBA, KBLI, risk level, PB UMKU, and sectoral permits
• Compliance and legal advisory across the permit lifecycle
• Expansion, projects, and investment</x:t>
  </x:si>
  <x:si>
    <x:t xml:space="preserve">Start with your business situation.</x:t>
  </x:si>
  <x:si>
    <x:t xml:space="preserve">Service categories guide the initial review, but one need may involve more than one category.</x:t>
  </x:si>
  <x:si>
    <x:t xml:space="preserve">• Establish or change a business entity
• Add or change a business activity
• Assess NIB, KBLI, risk level, and further permits
• Address mismatches or post-permit obligations
• Prepare an expansion, project, or investment</x:t>
  </x:si>
  <x:si>
    <x:t xml:space="preserve">Find the Relevant Category</x:t>
  </x:si>
  <x:si>
    <x:t xml:space="preserve">Relevant to establishment, structural changes, corporate-data changes, or legal-foundation alignment before operations begin.</x:t>
  </x:si>
  <x:si>
    <x:t xml:space="preserve">Category approved; final deliverables, exclusions, and checklist remain pending.</x:t>
  </x:si>
  <x:si>
    <x:t xml:space="preserve">Discuss This Need</x:t>
  </x:si>
  <x:si>
    <x:t xml:space="preserve">Support for mapping KBLI, risk level, OSS-RBA, PB UMKU, fulfilment requirements, and relevant sectoral permits.</x:t>
  </x:si>
  <x:si>
    <x:t xml:space="preserve">Relevant when the activity, location, product, or OSS data needs assessment to identify further requirements.</x:t>
  </x:si>
  <x:si>
    <x:t xml:space="preserve">Category approved; specific sector coverage requires validation.</x:t>
  </x:si>
  <x:si>
    <x:t xml:space="preserve">Support for compliance reviews, regulatory risk, legal-operational data alignment, post-permit obligations, and legal support throughout the permit lifecycle.</x:t>
  </x:si>
  <x:si>
    <x:t xml:space="preserve">Relevant to periodic reviews, monitoring, regularisation, administrative-sanction risk, or ongoing support.</x:t>
  </x:si>
  <x:si>
    <x:t xml:space="preserve">Category approved; retainer, SOP, and legal-reviewer scope must be completed.</x:t>
  </x:si>
  <x:si>
    <x:t xml:space="preserve">Support for mapping and coordinating permits, documents, and dependencies for expansion, projects, and investments in Indonesia.</x:t>
  </x:si>
  <x:si>
    <x:t xml:space="preserve">Relevant when a plan involves interconnected location, spatial, entity, activity, sector, environmental, building, or operational-stage requirements.</x:t>
  </x:si>
  <x:si>
    <x:t xml:space="preserve">Category approved; sector and project examples require approval before publication.</x:t>
  </x:si>
  <x:si>
    <x:t xml:space="preserve">Information that supports the initial assessment.</x:t>
  </x:si>
  <x:si>
    <x:t xml:space="preserve">The clearer the starting context, the easier it is for the team to define follow-up questions and a potential scope.</x:t>
  </x:si>
  <x:si>
    <x:t xml:space="preserve">• Planned business activity or entity action
• Location of the activity or project
• Available entity and legal documents
• KBLI, NIB, or OSS data, if available
• Target timing and current issue
• Only initial documents that are safe to share</x:t>
  </x:si>
  <x:si>
    <x:t xml:space="preserve">Prepare Your Information</x:t>
  </x:si>
  <x:si>
    <x:t xml:space="preserve">Scope follows the facts of each need.</x:t>
  </x:si>
  <x:si>
    <x:t xml:space="preserve">Deliverables, exclusions, timing, fees, government charges, third-party needs, and dependencies are defined after an initial review and documented in a proposal when the need can be handled.</x:t>
  </x:si>
  <x:si>
    <x:t xml:space="preserve">Decisions, processing time, and outcomes controlled by an authority cannot be guaranteed.</x:t>
  </x:si>
  <x:si>
    <x:t xml:space="preserve">Request an Initial Review</x:t>
  </x:si>
  <x:si>
    <x:t xml:space="preserve">Experience that can be verified.</x:t>
  </x:si>
  <x:si>
    <x:t xml:space="preserve">This section only presents case studies whose context, scope, approach, output, evidence, and publication consent have been approved.</x:t>
  </x:si>
  <x:si>
    <x:t xml:space="preserve">Client identities, logos, testimonials, metrics, and outcomes may not be used without evidence and consent.</x:t>
  </x:si>
  <x:si>
    <x:t xml:space="preserve">[APPROVED CASE STUDY TITLE]</x:t>
  </x:si>
  <x:si>
    <x:t xml:space="preserve">[BUSINESS SITUATION AND NEED — WITHOUT CONFIDENTIAL INFORMATION]</x:t>
  </x:si>
  <x:si>
    <x:t xml:space="preserve">• Scope: [VERIFIED SCOPE]
• Approach: [EXPLAINABLE STEPS]
• Output: [VERIFIED DELIVERABLE]
• Evidence: [EVIDENCE AND CONSENT]</x:t>
  </x:si>
  <x:si>
    <x:t xml:space="preserve">Discuss a Similar Situation</x:t>
  </x:si>
  <x:si>
    <x:t xml:space="preserve">Legal-regulatory insights for better-prepared decisions.</x:t>
  </x:si>
  <x:si>
    <x:t xml:space="preserve">Find general orientation on business legality, OSS-RBA and KBLI, sectoral permits, compliance, and project and investment licensing in Indonesia.</x:t>
  </x:si>
  <x:si>
    <x:t xml:space="preserve">Content does not replace a review of the facts and documents of a specific matter.</x:t>
  </x:si>
  <x:si>
    <x:t xml:space="preserve">Ask a Question</x:t>
  </x:si>
  <x:si>
    <x:t xml:space="preserve">[REVIEWED ARTICLE TITLE]</x:t>
  </x:si>
  <x:si>
    <x:t xml:space="preserve">[SUMMARY EXPLAINING THE TOPIC, BUSINESS RELEVANCE, AND LIMITS OF APPLICATION]</x:t>
  </x:si>
  <x:si>
    <x:t xml:space="preserve">• Sources: [OFFICIAL / PRIMARY SOURCES]
• Reviewer: [APPROVED NAME AND ROLE]
• Review date: [DATE]
• Status: [REVIEWED / UPDATE REQUIRED]</x:t>
  </x:si>
  <x:si>
    <x:t xml:space="preserve">[LEAD: WHAT NEEDS TO BE UNDERSTOOD AND WHY IT MATTERS TO A BUSINESS DECISION]</x:t>
  </x:si>
  <x:si>
    <x:t xml:space="preserve">1. What needs to be understood
2. Why it matters
3. Information or documents to prepare
4. Limits of application and exceptions
5. Next step
6. Official sources, reviewer, and review date</x:t>
  </x:si>
  <x:si>
    <x:t xml:space="preserve">Discuss a Specific Need</x:t>
  </x:si>
  <x:si>
    <x:t xml:space="preserve">Back to Insights</x:t>
  </x:si>
  <x:si>
    <x:t xml:space="preserve">Tell us about your business licensing or legal-regulatory need.</x:t>
  </x:si>
  <x:si>
    <x:t xml:space="preserve">Submit the initial context so the team can assess fit, clarification questions, and the next step.</x:t>
  </x:si>
  <x:si>
    <x:t xml:space="preserve">Relevant information: business activity, location, legal status, available documents, need, and realistic target timing.</x:t>
  </x:si>
  <x:si>
    <x:t xml:space="preserve">Information that supports the initial review.</x:t>
  </x:si>
  <x:si>
    <x:t xml:space="preserve">You do not need to know the exact permit name. Start with the business activity and current condition.</x:t>
  </x:si>
  <x:si>
    <x:t xml:space="preserve">• What will be established, changed, operated, or expanded
• Location of the activity or project
• Available entity and legal data
• KBLI, NIB, or OSS data, if available
• Current issue
• Target timing
• Initial documents that are safe to share</x:t>
  </x:si>
  <x:si>
    <x:t xml:space="preserve">Complete the Form</x:t>
  </x:si>
  <x:si>
    <x:t xml:space="preserve">What happens after an inquiry is submitted.</x:t>
  </x:si>
  <x:si>
    <x:t xml:space="preserve">Each inquiry starts with an initial review to assess its context and fit.</x:t>
  </x:si>
  <x:si>
    <x:t xml:space="preserve">1. Initial review
2. Clarification of information or documents
3. Consultation scheduling
4. Scope and fee proposal when appropriate
5. Approval, payment, and work follow the agreed proposal</x:t>
  </x:si>
  <x:si>
    <x:t xml:space="preserve">Limits on requests that can be handled.</x:t>
  </x:si>
  <x:si>
    <x:t xml:space="preserve">The website is not intended for same-day legal emergencies, requests for guaranteed authority outcomes, document manipulation, or actions that violate law or ethics.</x:t>
  </x:si>
  <x:si>
    <x:t xml:space="preserve">Use the Inquiry Form</x:t>
  </x:si>
  <x:si>
    <x:t xml:space="preserve">Galdino &amp; Partner public contact</x:t>
  </x:si>
  <x:si>
    <x:t xml:space="preserve">[PUBLIC EMAIL, PHONE/WHATSAPP, AND FULL STREET ADDRESS ARE PENDING APPROVAL. DO NOT USE KULTIVATE/PROJECT CONTACTS AS FINAL PUBLIC CONTACTS.]</x:t>
  </x:si>
  <x:si>
    <x:t xml:space="preserve">Confirmed location: Kota Tangerang, Banten, Indonesia.</x:t>
  </x:si>
  <x:si>
    <x:t xml:space="preserve">A legal foundation aligned with the operating plan.</x:t>
  </x:si>
  <x:si>
    <x:t xml:space="preserve">This page will explain how establishment or entity-change needs, corporate documents, NIB, KBLI, and initial operational readiness are reviewed according to the business context.</x:t>
  </x:si>
  <x:si>
    <x:t xml:space="preserve">• Supported use cases: [PENDING APPROVAL]
• Deliverables: [PENDING APPROVAL]
• Exclusions: [PENDING APPROVAL]
• Document checklist: [PENDING APPROVAL]
• Timing, fees, government charges, third parties, dependencies: [PENDING REVIEW]</x:t>
  </x:si>
  <x:si>
    <x:t xml:space="preserve">Back to Services</x:t>
  </x:si>
  <x:si>
    <x:t xml:space="preserve">Map the activity, KBLI, risk level, and further permits.</x:t>
  </x:si>
  <x:si>
    <x:t xml:space="preserve">This page will explain the relationship between business activity, KBLI, risk level, OSS-RBA, NIB, Standard Certificate, Permit, PB UMKU, fulfilment commitments, and relevant sectoral permits.</x:t>
  </x:si>
  <x:si>
    <x:t xml:space="preserve">• Sector coverage: [PENDING VALIDATION]
• Deliverables and exclusions: [PENDING APPROVAL]
• Document and OSS-data checklist: [PENDING APPROVAL]
• Timing, fees, government charges, authorities, dependencies: [PENDING REVIEW]</x:t>
  </x:si>
  <x:si>
    <x:t xml:space="preserve">Review compliance throughout the permit lifecycle.</x:t>
  </x:si>
  <x:si>
    <x:t xml:space="preserve">This page will explain reviews of legal-operational data alignment, post-permit obligations, monitoring, regularisation, regulatory risk, and legal support connected to business continuity.</x:t>
  </x:si>
  <x:si>
    <x:t xml:space="preserve">• Review scope and outputs: [PENDING APPROVAL]
• Retainer and cadence: [PENDING APPROVAL]
• SOP, escalation, and legal reviewer: [PENDING APPROVAL]
• Exclusions, timing, fees, dependencies: [PENDING REVIEW]</x:t>
  </x:si>
  <x:si>
    <x:t xml:space="preserve">Build the licensing path for expansion, projects, and investment.</x:t>
  </x:si>
  <x:si>
    <x:t xml:space="preserve">This page will explain initial assessment, activity and KBLI, location, spatial requirements, entities, documents, relevant environmental or building permits, sectoral needs, coordination, monitoring, and follow-up.</x:t>
  </x:si>
  <x:si>
    <x:t xml:space="preserve">• Project/sector types: [PENDING APPROVAL]
• Deliverables and exclusions: [PENDING APPROVAL]
• Authorities and cross-document dependencies: [PENDING VALIDATION]
• Timing, fees, government charges, third parties: [PENDING REVIEW]</x:t>
  </x:si>
  <x:si>
    <x:t xml:space="preserve">Common questions before getting started.</x:t>
  </x:si>
  <x:si>
    <x:t xml:space="preserve">The FAQ provides general orientation only. Final answers must be reviewed so they do not replace an assessment based on the activity, location, documents, and facts of each need.</x:t>
  </x:si>
  <x:si>
    <x:t xml:space="preserve">• Is NIB always sufficient?
• How are KBLI and risk level determined?
• Which initial documents should be prepared?
• How are scope, fees, and timing determined?
• Can an outcome or processing time be guaranteed?
• What happens after an inquiry is submitted?</x:t>
  </x:si>
  <x:si>
    <x:t xml:space="preserve">Ask a Specific Question</x:t>
  </x:si>
  <x:si>
    <x:t xml:space="preserve">Privacy Policy — not yet available.</x:t>
  </x:si>
  <x:si>
    <x:t xml:space="preserve">Policy copy is not drafted because the data controller, purposes and lawful basis, retention, security, third parties, cookies, user rights, and privacy contact have not been confirmed and legally reviewed.</x:t>
  </x:si>
  <x:si>
    <x:t xml:space="preserve">Do not publish final consent text or activate a Privacy Policy route before the policy is approved and aligned with the actual data flow.</x:t>
  </x:si>
  <x:si>
    <x:t xml:space="preserve">Terms &amp; Disclaimer — not yet available.</x:t>
  </x:si>
  <x:si>
    <x:t xml:space="preserve">Terms of use are not drafted because permitted use, formation of a professional relationship, intellectual property, third-party links, liability, governing law, and amendment process have not been approved through legal review.</x:t>
  </x:si>
  <x:si>
    <x:t xml:space="preserve">The general disclaimer in GLOBAL may be used as an interim boundary but does not replace final Terms &amp; Disclaimer.</x:t>
  </x:si>
  <x:si>
    <x:t xml:space="preserve">FASE 2 — PROOF, PLACEHOLDER &amp; PUBLICATION CONTROL</x:t>
  </x:si>
  <x:si>
    <x:t xml:space="preserve">Register ini memisahkan fakta terkonfirmasi, fakta pending, dummy, preview-only, consent-required, dan launch blocker agar prototype tidak berubah menjadi klaim publik.</x:t>
  </x:si>
  <x:si>
    <x:t xml:space="preserve">Claim / Evidence</x:t>
  </x:si>
  <x:si>
    <x:t xml:space="preserve">Classification</x:t>
  </x:si>
  <x:si>
    <x:t xml:space="preserve">Allowed Public Copy / Use</x:t>
  </x:si>
  <x:si>
    <x:t xml:space="preserve">Do Not Publish</x:t>
  </x:si>
  <x:si>
    <x:t xml:space="preserve">Pages</x:t>
  </x:si>
  <x:si>
    <x:t xml:space="preserve">Required Action</x:t>
  </x:si>
  <x:si>
    <x:t xml:space="preserve">Owner</x:t>
  </x:si>
  <x:si>
    <x:t xml:space="preserve">Release Gate</x:t>
  </x:si>
  <x:si>
    <x:t xml:space="preserve">Source</x:t>
  </x:si>
  <x:si>
    <x:t xml:space="preserve">PF-001</x:t>
  </x:si>
  <x:si>
    <x:t xml:space="preserve">Galdino &amp; Partner adalah brand yang dioperasikan oleh PT Karya Usaha Sukses.</x:t>
  </x:si>
  <x:si>
    <x:t xml:space="preserve">CONFIRMED</x:t>
  </x:si>
  <x:si>
    <x:t xml:space="preserve">Boleh dipublikasikan sesuai wording yang disetujui.</x:t>
  </x:si>
  <x:si>
    <x:t xml:space="preserve">Jangan menambahkan hubungan legal lain yang tidak didukung.</x:t>
  </x:si>
  <x:si>
    <x:t xml:space="preserve">Home; Profile; Footer</x:t>
  </x:si>
  <x:si>
    <x:t xml:space="preserve">Gunakan konsisten.</x:t>
  </x:si>
  <x:si>
    <x:t xml:space="preserve">Kultivate / approver</x:t>
  </x:si>
  <x:si>
    <x:t xml:space="preserve">Approved</x:t>
  </x:si>
  <x:si>
    <x:t xml:space="preserve">PF-002</x:t>
  </x:si>
  <x:si>
    <x:t xml:space="preserve">PT Karya Usaha Sukses adalah perseroan terbatas yang berdiri sejak 2015.</x:t>
  </x:si>
  <x:si>
    <x:t xml:space="preserve">Boleh menyebut bentuk PT dan tahun 2015.</x:t>
  </x:si>
  <x:si>
    <x:t xml:space="preserve">Jangan menghitung atau mengklaim “lebih dari X tahun pengalaman” tanpa aturan dan approval.</x:t>
  </x:si>
  <x:si>
    <x:t xml:space="preserve">Profile; Footer; Home</x:t>
  </x:si>
  <x:si>
    <x:t xml:space="preserve">Pertahankan sebagai fakta identitas operator.</x:t>
  </x:si>
  <x:si>
    <x:t xml:space="preserve">PF-003</x:t>
  </x:si>
  <x:si>
    <x:t xml:space="preserve">Kedudukan operator: Kota Tangerang, Banten, Indonesia.</x:t>
  </x:si>
  <x:si>
    <x:t xml:space="preserve">CONFIRMED PARTIAL</x:t>
  </x:si>
  <x:si>
    <x:t xml:space="preserve">Boleh menampilkan kota, provinsi, negara.</x:t>
  </x:si>
  <x:si>
    <x:t xml:space="preserve">Jangan mengarang alamat jalan atau lokasi kantor publik.</x:t>
  </x:si>
  <x:si>
    <x:t xml:space="preserve">Contact; Footer; Profile</x:t>
  </x:si>
  <x:si>
    <x:t xml:space="preserve">Approve full address or retain city-level location only.</x:t>
  </x:si>
  <x:si>
    <x:t xml:space="preserve">Business owner</x:t>
  </x:si>
  <x:si>
    <x:t xml:space="preserve">Before launch if street address is shown</x:t>
  </x:si>
  <x:si>
    <x:t xml:space="preserve">PF-004</x:t>
  </x:si>
  <x:si>
    <x:t xml:space="preserve">Descriptor publik: Galdino &amp; Partner by Kultivate.</x:t>
  </x:si>
  <x:si>
    <x:t xml:space="preserve">Boleh digunakan di Profile/footer.</x:t>
  </x:si>
  <x:si>
    <x:t xml:space="preserve">Jangan membuat Kultivate lebih dominan daripada Galdino &amp; Partner pada website ini.</x:t>
  </x:si>
  <x:si>
    <x:t xml:space="preserve">Profile; Footer</x:t>
  </x:si>
  <x:si>
    <x:t xml:space="preserve">Use as approved descriptor.</x:t>
  </x:si>
  <x:si>
    <x:t xml:space="preserve">Brand approver</x:t>
  </x:si>
  <x:si>
    <x:t xml:space="preserve">PF-005</x:t>
  </x:si>
  <x:si>
    <x:t xml:space="preserve">Nomor registrasi PT Karya Usaha Sukses.</x:t>
  </x:si>
  <x:si>
    <x:t xml:space="preserve">PENDING VERIFICATION</x:t>
  </x:si>
  <x:si>
    <x:t xml:space="preserve">Gunakan placeholder internal saja.</x:t>
  </x:si>
  <x:si>
    <x:t xml:space="preserve">Jangan menampilkan nomor apa pun sebelum cocok dengan dokumen resmi.</x:t>
  </x:si>
  <x:si>
    <x:t xml:space="preserve">Profile; Footer; structured data</x:t>
  </x:si>
  <x:si>
    <x:t xml:space="preserve">Verify official company document.</x:t>
  </x:si>
  <x:si>
    <x:t xml:space="preserve">Before publication</x:t>
  </x:si>
  <x:si>
    <x:t xml:space="preserve">PF-006</x:t>
  </x:si>
  <x:si>
    <x:t xml:space="preserve">Empat kategori layanan utama.</x:t>
  </x:si>
  <x:si>
    <x:t xml:space="preserve">Boleh dipublikasikan pada category level.</x:t>
  </x:si>
  <x:si>
    <x:t xml:space="preserve">Jangan memperlakukan 15 service items sebagai penawaran final terpisah.</x:t>
  </x:si>
  <x:si>
    <x:t xml:space="preserve">Home; Services</x:t>
  </x:si>
  <x:si>
    <x:t xml:space="preserve">Approve detailed scope separately.</x:t>
  </x:si>
  <x:si>
    <x:t xml:space="preserve">Service owner</x:t>
  </x:si>
  <x:si>
    <x:t xml:space="preserve">Approved at category level</x:t>
  </x:si>
  <x:si>
    <x:t xml:space="preserve">PF-007</x:t>
  </x:si>
  <x:si>
    <x:t xml:space="preserve">15 detailed service items pada prototype.</x:t>
  </x:si>
  <x:si>
    <x:t xml:space="preserve">PLACEHOLDER INTERNAL</x:t>
  </x:si>
  <x:si>
    <x:t xml:space="preserve">Dapat digunakan untuk staging/IA review dengan label.</x:t>
  </x:si>
  <x:si>
    <x:t xml:space="preserve">Jangan publish sebagai approved offerings, pricing commitments, atau schema claims.</x:t>
  </x:si>
  <x:si>
    <x:t xml:space="preserve">Approve, consolidate, or remove.</x:t>
  </x:si>
  <x:si>
    <x:t xml:space="preserve">Before launch</x:t>
  </x:si>
  <x:si>
    <x:t xml:space="preserve">Dummy Register</x:t>
  </x:si>
  <x:si>
    <x:t xml:space="preserve">PF-008</x:t>
  </x:si>
  <x:si>
    <x:t xml:space="preserve">Process: Assess, Map, Prepare, Coordinate, Monitor, Follow Up.</x:t>
  </x:si>
  <x:si>
    <x:t xml:space="preserve">CONFIRMED FRAMEWORK</x:t>
  </x:si>
  <x:si>
    <x:t xml:space="preserve">Boleh dijelaskan sebagai pendekatan umum.</x:t>
  </x:si>
  <x:si>
    <x:t xml:space="preserve">Jangan menyiratkan semua langkah selalu berlaku atau memiliki durasi tetap.</x:t>
  </x:si>
  <x:si>
    <x:t xml:space="preserve">Home; Services; Profile</x:t>
  </x:si>
  <x:si>
    <x:t xml:space="preserve">Explain that execution depends on scope.</x:t>
  </x:si>
  <x:si>
    <x:t xml:space="preserve">Operations</x:t>
  </x:si>
  <x:si>
    <x:t xml:space="preserve">PF-009</x:t>
  </x:si>
  <x:si>
    <x:t xml:space="preserve">Statistik 280 / 120 / 10 dan jumlah tim.</x:t>
  </x:si>
  <x:si>
    <x:t xml:space="preserve">UNVERIFIED / DO NOT PUBLISH</x:t>
  </x:si>
  <x:si>
    <x:t xml:space="preserve">Placeholder internal only.</x:t>
  </x:si>
  <x:si>
    <x:t xml:space="preserve">Jangan tayang di halaman, metadata, schema, presentation of fact, atau case study.</x:t>
  </x:si>
  <x:si>
    <x:t xml:space="preserve">Home; Experiences; Profile</x:t>
  </x:si>
  <x:si>
    <x:t xml:space="preserve">Provide auditable source and approval or remove.</x:t>
  </x:si>
  <x:si>
    <x:t xml:space="preserve">Before any publication</x:t>
  </x:si>
  <x:si>
    <x:t xml:space="preserve">Dummy Register; Discovery</x:t>
  </x:si>
  <x:si>
    <x:t xml:space="preserve">PF-010</x:t>
  </x:si>
  <x:si>
    <x:t xml:space="preserve">Harga, timeline 3–5 hari, success rate, atau hasil approval.</x:t>
  </x:si>
  <x:si>
    <x:t xml:space="preserve">Gunakan kalimat bahwa scope/fee/timing ditentukan setelah review.</x:t>
  </x:si>
  <x:si>
    <x:t xml:space="preserve">Jangan menjanjikan harga, waktu, hasil, atau keputusan otoritas.</x:t>
  </x:si>
  <x:si>
    <x:t xml:space="preserve">Services; Contact; FAQ</x:t>
  </x:si>
  <x:si>
    <x:t xml:space="preserve">Approve service economics and dependency rules first.</x:t>
  </x:si>
  <x:si>
    <x:t xml:space="preserve">Service + finance owner</x:t>
  </x:si>
  <x:si>
    <x:t xml:space="preserve">Dummy Register; Claim governance</x:t>
  </x:si>
  <x:si>
    <x:t xml:space="preserve">PF-011</x:t>
  </x:si>
  <x:si>
    <x:t xml:space="preserve">Nama, profil, credential, dan foto tim prototype.</x:t>
  </x:si>
  <x:si>
    <x:t xml:space="preserve">DUMMY / DO NOT LAUNCH</x:t>
  </x:si>
  <x:si>
    <x:t xml:space="preserve">Placeholder on staging with noindex only.</x:t>
  </x:si>
  <x:si>
    <x:t xml:space="preserve">Jangan publish identities, credentials, images, or team count as real.</x:t>
  </x:si>
  <x:si>
    <x:t xml:space="preserve">Profile; Profile Detail</x:t>
  </x:si>
  <x:si>
    <x:t xml:space="preserve">Replace with real verified profiles + consent or remove.</x:t>
  </x:si>
  <x:si>
    <x:t xml:space="preserve">People / legal owner</x:t>
  </x:si>
  <x:si>
    <x:t xml:space="preserve">PF-012</x:t>
  </x:si>
  <x:si>
    <x:t xml:space="preserve">Experience cards, client identities, logos, testimonials, outcomes.</x:t>
  </x:si>
  <x:si>
    <x:t xml:space="preserve">DUMMY / CONSENT REQUIRED</x:t>
  </x:si>
  <x:si>
    <x:t xml:space="preserve">Case template may remain on staging.</x:t>
  </x:si>
  <x:si>
    <x:t xml:space="preserve">Jangan publish client/project facts, logos, testimonial, or metrics without evidence and consent.</x:t>
  </x:si>
  <x:si>
    <x:t xml:space="preserve">Home; Experiences</x:t>
  </x:si>
  <x:si>
    <x:t xml:space="preserve">Provide case register, evidence, redaction, and consent.</x:t>
  </x:si>
  <x:si>
    <x:t xml:space="preserve">Case owner / client approver</x:t>
  </x:si>
  <x:si>
    <x:t xml:space="preserve">PF-013</x:t>
  </x:si>
  <x:si>
    <x:t xml:space="preserve">Article titles and content currently in prototype.</x:t>
  </x:si>
  <x:si>
    <x:t xml:space="preserve">PREVIEW ONLY</x:t>
  </x:si>
  <x:si>
    <x:t xml:space="preserve">Structure/template may remain on staging.</x:t>
  </x:si>
  <x:si>
    <x:t xml:space="preserve">Jangan launch article without official sources, reviewer, review date, and editorial/legal approval.</x:t>
  </x:si>
  <x:si>
    <x:t xml:space="preserve">Blog; Article Detail</x:t>
  </x:si>
  <x:si>
    <x:t xml:space="preserve">Review or exclude from launch.</x:t>
  </x:si>
  <x:si>
    <x:t xml:space="preserve">Editorial + legal reviewer</x:t>
  </x:si>
  <x:si>
    <x:t xml:space="preserve">PF-014</x:t>
  </x:si>
  <x:si>
    <x:t xml:space="preserve">Public GP phone, WhatsApp, and email.</x:t>
  </x:si>
  <x:si>
    <x:t xml:space="preserve">NOT AVAILABLE</x:t>
  </x:si>
  <x:si>
    <x:t xml:space="preserve">Use explicit placeholder internally.</x:t>
  </x:si>
  <x:si>
    <x:t xml:space="preserve">Jangan publish project/Kultivate contacts as final GP contacts.</x:t>
  </x:si>
  <x:si>
    <x:t xml:space="preserve">Header; Footer; Contact; WhatsApp dock</x:t>
  </x:si>
  <x:si>
    <x:t xml:space="preserve">Approve public channels and ownership.</x:t>
  </x:si>
  <x:si>
    <x:t xml:space="preserve">PF-015</x:t>
  </x:si>
  <x:si>
    <x:t xml:space="preserve">Target domain galdinopartner.co.id.</x:t>
  </x:si>
  <x:si>
    <x:t xml:space="preserve">APPROVED TARGET / NOT PURCHASED</x:t>
  </x:si>
  <x:si>
    <x:t xml:space="preserve">May appear in project documentation only.</x:t>
  </x:si>
  <x:si>
    <x:t xml:space="preserve">Jangan claim domain ownership or use as canonical until acquired and configured.</x:t>
  </x:si>
  <x:si>
    <x:t xml:space="preserve">Metadata; structured data</x:t>
  </x:si>
  <x:si>
    <x:t xml:space="preserve">Purchase, verify, and configure.</x:t>
  </x:si>
  <x:si>
    <x:t xml:space="preserve">Technical/business owner</x:t>
  </x:si>
  <x:si>
    <x:t xml:space="preserve">PF-016</x:t>
  </x:si>
  <x:si>
    <x:t xml:space="preserve">Privacy Policy and consent text.</x:t>
  </x:si>
  <x:si>
    <x:t xml:space="preserve">NOT AVAILABLE / LAUNCH BLOCKER</x:t>
  </x:si>
  <x:si>
    <x:t xml:space="preserve">Only placeholder/gate copy.</x:t>
  </x:si>
  <x:si>
    <x:t xml:space="preserve">Jangan invent data-processing terms or final consent.</x:t>
  </x:si>
  <x:si>
    <x:t xml:space="preserve">Contact; Footer; Privacy route</x:t>
  </x:si>
  <x:si>
    <x:t xml:space="preserve">Confirm actual data flow; legal draft and approval.</x:t>
  </x:si>
  <x:si>
    <x:t xml:space="preserve">Privacy/legal owner</x:t>
  </x:si>
  <x:si>
    <x:t xml:space="preserve">PF-017</x:t>
  </x:si>
  <x:si>
    <x:t xml:space="preserve">Terms &amp; Disclaimer.</x:t>
  </x:si>
  <x:si>
    <x:t xml:space="preserve">General disclaimer may be used as interim boundary.</x:t>
  </x:si>
  <x:si>
    <x:t xml:space="preserve">Jangan invent governing law, liability, or usage terms.</x:t>
  </x:si>
  <x:si>
    <x:t xml:space="preserve">Footer; Terms route</x:t>
  </x:si>
  <x:si>
    <x:t xml:space="preserve">Legal draft and approval.</x:t>
  </x:si>
  <x:si>
    <x:t xml:space="preserve">Legal owner</x:t>
  </x:si>
  <x:si>
    <x:t xml:space="preserve">PF-018</x:t>
  </x:si>
  <x:si>
    <x:t xml:space="preserve">Contact success state.</x:t>
  </x:si>
  <x:si>
    <x:t xml:space="preserve">APPROVED TARGET / NOT IMPLEMENTED</x:t>
  </x:si>
  <x:si>
    <x:t xml:space="preserve">Final modal copy is ready for implementation.</x:t>
  </x:si>
  <x:si>
    <x:t xml:space="preserve">Jangan document separate Thank You route as target.</x:t>
  </x:si>
  <x:si>
    <x:t xml:space="preserve">Implement modal after successful API submission.</x:t>
  </x:si>
  <x:si>
    <x:t xml:space="preserve">Developer</x:t>
  </x:si>
  <x:si>
    <x:t xml:space="preserve">Before release</x:t>
  </x:si>
  <x:si>
    <x:t xml:space="preserve">Routing</x:t>
  </x:si>
  <x:si>
    <x:t xml:space="preserve">PF-019</x:t>
  </x:si>
  <x:si>
    <x:t xml:space="preserve">Form fields and Resend delivery.</x:t>
  </x:si>
  <x:si>
    <x:t xml:space="preserve">CURRENT IMPLEMENTED</x:t>
  </x:si>
  <x:si>
    <x:t xml:space="preserve">May describe the form purpose; do not expose technical security claims unnecessarily in marketing copy.</x:t>
  </x:si>
  <x:si>
    <x:t xml:space="preserve">Jangan claim CRM/Google Sheets automation; not implemented.</x:t>
  </x:si>
  <x:si>
    <x:t xml:space="preserve">Keep fields aligned with consent and privacy review.</x:t>
  </x:si>
  <x:si>
    <x:t xml:space="preserve">Developer / operations</x:t>
  </x:si>
  <x:si>
    <x:t xml:space="preserve">Current</x:t>
  </x:si>
  <x:si>
    <x:t xml:space="preserve">PF-020</x:t>
  </x:si>
  <x:si>
    <x:t xml:space="preserve">Robots/indexing and structured data for staging content.</x:t>
  </x:si>
  <x:si>
    <x:t xml:space="preserve">RISK / PENDING FIX</x:t>
  </x:si>
  <x:si>
    <x:t xml:space="preserve">Internal governance note only.</x:t>
  </x:si>
  <x:si>
    <x:t xml:space="preserve">Jangan allow dummy team/cases/articles or provisional contact/domain to become indexable facts.</x:t>
  </x:si>
  <x:si>
    <x:t xml:space="preserve">All prototype routes</x:t>
  </x:si>
  <x:si>
    <x:t xml:space="preserve">Restrict indexing and publish verified organization data only.</x:t>
  </x:si>
  <x:si>
    <x:t xml:space="preserve">Developer / SEO</x:t>
  </x:si>
  <x:si>
    <x:t xml:space="preserve">FASE 2 — POSITIONING, TONE &amp; MESSAGE QUALITY QA</x:t>
  </x:si>
  <x:si>
    <x:t xml:space="preserve">Skor 1–5 menilai apakah copy konsisten dengan positioning permit-handling-first, tone calm/precise/practical, evidence discipline, CTA, bilingual equivalence, dan kesiapan publikasi.</x:t>
  </x:si>
  <x:si>
    <x:t xml:space="preserve">Scope Reviewed</x:t>
  </x:si>
  <x:si>
    <x:t xml:space="preserve">Tone</x:t>
  </x:si>
  <x:si>
    <x:t xml:space="preserve">Clarity</x:t>
  </x:si>
  <x:si>
    <x:t xml:space="preserve">Evidence Discipline</x:t>
  </x:si>
  <x:si>
    <x:t xml:space="preserve">CTA Specificity</x:t>
  </x:si>
  <x:si>
    <x:t xml:space="preserve">Bilingual Equivalence</x:t>
  </x:si>
  <x:si>
    <x:t xml:space="preserve">Publication Readiness</x:t>
  </x:si>
  <x:si>
    <x:t xml:space="preserve">Average Score</x:t>
  </x:si>
  <x:si>
    <x:t xml:space="preserve">Key Finding</x:t>
  </x:si>
  <x:si>
    <x:t xml:space="preserve">Global identity, navigation, form, legal boundary</x:t>
  </x:si>
  <x:si>
    <x:t xml:space="preserve">CTA label, contacts, consent, Privacy/Terms require approval.</x:t>
  </x:si>
  <x:si>
    <x:t xml:space="preserve">Approve global labels; keep placeholders gated.</x:t>
  </x:si>
  <x:si>
    <x:t xml:space="preserve">Positioning, category orientation, process, credibility, previews, CTA</x:t>
  </x:si>
  <x:si>
    <x:t xml:space="preserve">Experience and article sections depend on approved evidence/review.</x:t>
  </x:si>
  <x:si>
    <x:t xml:space="preserve">Launch final sections; remove gated previews if dependencies remain.</x:t>
  </x:si>
  <x:si>
    <x:t xml:space="preserve">Identity, approach, principles, team, CTA</x:t>
  </x:si>
  <x:si>
    <x:t xml:space="preserve">Team directory is dummy; registration number pending.</x:t>
  </x:si>
  <x:si>
    <x:t xml:space="preserve">Publish identity/approach; replace/remove team section.</x:t>
  </x:si>
  <x:si>
    <x:t xml:space="preserve">Individual professional profile</x:t>
  </x:si>
  <x:si>
    <x:t xml:space="preserve">All profile facts and images are dummy.</x:t>
  </x:si>
  <x:si>
    <x:t xml:space="preserve">Keep noindex; replace with verified data or remove routes.</x:t>
  </x:si>
  <x:si>
    <x:t xml:space="preserve">Four categories, decision guide, initial inputs, boundary</x:t>
  </x:si>
  <x:si>
    <x:t xml:space="preserve">Detailed scope, prices, timelines, sector coverage remain pending.</x:t>
  </x:si>
  <x:si>
    <x:t xml:space="preserve">Publish category-level copy only; do not imply detail routes exist.</x:t>
  </x:si>
  <x:si>
    <x:t xml:space="preserve">Case-study framework</x:t>
  </x:si>
  <x:si>
    <x:t xml:space="preserve">No approved case evidence or consent.</x:t>
  </x:si>
  <x:si>
    <x:t xml:space="preserve">Remove at launch or populate only approved cases.</x:t>
  </x:si>
  <x:si>
    <x:t xml:space="preserve">Insight listing framework</x:t>
  </x:si>
  <x:si>
    <x:t xml:space="preserve">Actual articles are preview-only.</x:t>
  </x:si>
  <x:si>
    <x:t xml:space="preserve">Review articles or exclude listing/content from launch.</x:t>
  </x:si>
  <x:si>
    <x:t xml:space="preserve">Reviewed article template</x:t>
  </x:si>
  <x:si>
    <x:t xml:space="preserve">Substantive content, sources, reviewer, and dates missing.</x:t>
  </x:si>
  <x:si>
    <x:t xml:space="preserve">No launch until legal/editorial review.</x:t>
  </x:si>
  <x:si>
    <x:t xml:space="preserve">Inquiry copy, preparation, process, boundaries</x:t>
  </x:si>
  <x:si>
    <x:t xml:space="preserve">Public contacts, consent, Privacy route, response SLA pending.</x:t>
  </x:si>
  <x:si>
    <x:t xml:space="preserve">Approve contact/privacy; implement modal; avoid public SLA.</x:t>
  </x:si>
  <x:si>
    <x:t xml:space="preserve">Four category detail templates</x:t>
  </x:si>
  <x:si>
    <x:t xml:space="preserve">Deliverables, exclusions, checklist, timeline, fees incomplete.</x:t>
  </x:si>
  <x:si>
    <x:t xml:space="preserve">Complete and approve each detail page before implementation.</x:t>
  </x:si>
  <x:si>
    <x:t xml:space="preserve">Questions and framing</x:t>
  </x:si>
  <x:si>
    <x:t xml:space="preserve">Answers require legal and operational review.</x:t>
  </x:si>
  <x:si>
    <x:t xml:space="preserve">Do not launch answer content until approved.</x:t>
  </x:si>
  <x:si>
    <x:t xml:space="preserve">Policy gate only</x:t>
  </x:si>
  <x:si>
    <x:t xml:space="preserve">Actual data-processing facts and legal review absent.</x:t>
  </x:si>
  <x:si>
    <x:t xml:space="preserve">Confirm flow and obtain approved policy.</x:t>
  </x:si>
  <x:si>
    <x:t xml:space="preserve">Terms gate only</x:t>
  </x:si>
  <x:si>
    <x:t xml:space="preserve">Governing and liability terms absent.</x:t>
  </x:si>
  <x:si>
    <x:t xml:space="preserve">Obtain legal draft and approval.</x:t>
  </x:si>
  <x:si>
    <x:t xml:space="preserve">FASE 2 — APPROVAL &amp; IMPLEMENTATION ACTIONS</x:t>
  </x:si>
  <x:si>
    <x:t xml:space="preserve">Action list mengubah seluruh placeholder, blocker, dan rekomendasi QA menjadi pekerjaan yang memiliki owner, priority, status, launch impact, dan reference.</x:t>
  </x:si>
  <x:si>
    <x:t xml:space="preserve">Action ID</x:t>
  </x:si>
  <x:si>
    <x:t xml:space="preserve">Activity / Pages</x:t>
  </x:si>
  <x:si>
    <x:t xml:space="preserve">Reason</x:t>
  </x:si>
  <x:si>
    <x:t xml:space="preserve">Priority</x:t>
  </x:si>
  <x:si>
    <x:t xml:space="preserve">Blocks Launch?</x:t>
  </x:si>
  <x:si>
    <x:t xml:space="preserve">Reference</x:t>
  </x:si>
  <x:si>
    <x:t xml:space="preserve">GLOBAL / Contact</x:t>
  </x:si>
  <x:si>
    <x:t xml:space="preserve">Approve public GP phone, email, WhatsApp, and street address</x:t>
  </x:si>
  <x:si>
    <x:t xml:space="preserve">Current values are project/Kultivate contacts; street address is incomplete.</x:t>
  </x:si>
  <x:si>
    <x:t xml:space="preserve">CRITICAL</x:t>
  </x:si>
  <x:si>
    <x:t xml:space="preserve">NOT STARTED</x:t>
  </x:si>
  <x:si>
    <x:t xml:space="preserve">YES</x:t>
  </x:si>
  <x:si>
    <x:t xml:space="preserve">PF-003; PF-014</x:t>
  </x:si>
  <x:si>
    <x:t xml:space="preserve">A-002</x:t>
  </x:si>
  <x:si>
    <x:t xml:space="preserve">Profile / Legal identity</x:t>
  </x:si>
  <x:si>
    <x:t xml:space="preserve">Verify business registration number from official company records</x:t>
  </x:si>
  <x:si>
    <x:t xml:space="preserve">Number remains pending and must not be invented.</x:t>
  </x:si>
  <x:si>
    <x:t xml:space="preserve">Business owner / legal</x:t>
  </x:si>
  <x:si>
    <x:t xml:space="preserve">HIGH</x:t>
  </x:si>
  <x:si>
    <x:t xml:space="preserve">NO if omitted; YES if intended for publication/schema</x:t>
  </x:si>
  <x:si>
    <x:t xml:space="preserve">A-003</x:t>
  </x:si>
  <x:si>
    <x:t xml:space="preserve">Technical / Metadata</x:t>
  </x:si>
  <x:si>
    <x:t xml:space="preserve">Acquire and verify galdinopartner.co.id; replace provisional canonical/structured data</x:t>
  </x:si>
  <x:si>
    <x:t xml:space="preserve">Target is approved but ownership and activation are unconfirmed.</x:t>
  </x:si>
  <x:si>
    <x:t xml:space="preserve">Business + developer</x:t>
  </x:si>
  <x:si>
    <x:t xml:space="preserve">A-004</x:t>
  </x:si>
  <x:si>
    <x:t xml:space="preserve">GLOBAL / CTA</x:t>
  </x:si>
  <x:si>
    <x:t xml:space="preserve">Approve changing “Jadwalkan Konsultasi” to “Ajukan Konsultasi”</x:t>
  </x:si>
  <x:si>
    <x:t xml:space="preserve">Current route opens an inquiry form, not a calendar; revised label is more accurate.</x:t>
  </x:si>
  <x:si>
    <x:t xml:space="preserve">Brand + operations</x:t>
  </x:si>
  <x:si>
    <x:t xml:space="preserve">MEDIUM</x:t>
  </x:si>
  <x:si>
    <x:t xml:space="preserve">PENDING APPROVAL</x:t>
  </x:si>
  <x:si>
    <x:t xml:space="preserve">NO</x:t>
  </x:si>
  <x:si>
    <x:t xml:space="preserve">A-005</x:t>
  </x:si>
  <x:si>
    <x:t xml:space="preserve">Home / Services</x:t>
  </x:si>
  <x:si>
    <x:t xml:space="preserve">Approve, consolidate, or remove 15 prototype service items</x:t>
  </x:si>
  <x:si>
    <x:t xml:space="preserve">Only four categories are approved; detailed catalog may create unsupported claims.</x:t>
  </x:si>
  <x:si>
    <x:t xml:space="preserve">YES if currently visible</x:t>
  </x:si>
  <x:si>
    <x:t xml:space="preserve">A-006</x:t>
  </x:si>
  <x:si>
    <x:t xml:space="preserve">Complete deliverables, exclusions, document checklists, dependencies, price/timing rules for four detail pages</x:t>
  </x:si>
  <x:si>
    <x:t xml:space="preserve">Detail routes and operational content are backlog.</x:t>
  </x:si>
  <x:si>
    <x:t xml:space="preserve">Service + operations + legal</x:t>
  </x:si>
  <x:si>
    <x:t xml:space="preserve">NO for current launch; YES for detail-route launch</x:t>
  </x:si>
  <x:si>
    <x:t xml:space="preserve">SD1-001–SD4-001</x:t>
  </x:si>
  <x:si>
    <x:t xml:space="preserve">A-007</x:t>
  </x:si>
  <x:si>
    <x:t xml:space="preserve">Provide real team profiles, official roles, credentials, photos, and consent—or remove team routes</x:t>
  </x:si>
  <x:si>
    <x:t xml:space="preserve">Current profiles and images are dummy/noindex.</x:t>
  </x:si>
  <x:si>
    <x:t xml:space="preserve">People + legal</x:t>
  </x:si>
  <x:si>
    <x:t xml:space="preserve">A-008</x:t>
  </x:si>
  <x:si>
    <x:t xml:space="preserve">Provide approved case studies with evidence, redaction, and client consent—or remove section</x:t>
  </x:si>
  <x:si>
    <x:t xml:space="preserve">Current cases, testimonials, logos, and metrics are placeholders.</x:t>
  </x:si>
  <x:si>
    <x:t xml:space="preserve">Case owners + client approver</x:t>
  </x:si>
  <x:si>
    <x:t xml:space="preserve">A-009</x:t>
  </x:si>
  <x:si>
    <x:t xml:space="preserve">Blog / Article Detail</x:t>
  </x:si>
  <x:si>
    <x:t xml:space="preserve">Review each article using official sources; add reviewer and review date—or exclude from launch</x:t>
  </x:si>
  <x:si>
    <x:t xml:space="preserve">Current entries are preview-only.</x:t>
  </x:si>
  <x:si>
    <x:t xml:space="preserve">A-010</x:t>
  </x:si>
  <x:si>
    <x:t xml:space="preserve">Privacy / Contact</x:t>
  </x:si>
  <x:si>
    <x:t xml:space="preserve">Confirm actual data flow and approve Privacy Policy and consent text</x:t>
  </x:si>
  <x:si>
    <x:t xml:space="preserve">Privacy and consent are unavailable and are launch blockers.</x:t>
  </x:si>
  <x:si>
    <x:t xml:space="preserve">Privacy/legal + developer</x:t>
  </x:si>
  <x:si>
    <x:t xml:space="preserve">A-011</x:t>
  </x:si>
  <x:si>
    <x:t xml:space="preserve">Terms</x:t>
  </x:si>
  <x:si>
    <x:t xml:space="preserve">Draft and approve Terms &amp; Disclaimer</x:t>
  </x:si>
  <x:si>
    <x:t xml:space="preserve">Terms route and approved copy are absent.</x:t>
  </x:si>
  <x:si>
    <x:t xml:space="preserve">A-012</x:t>
  </x:si>
  <x:si>
    <x:t xml:space="preserve">Implement approved post-submit Thank You modal</x:t>
  </x:si>
  <x:si>
    <x:t xml:space="preserve">Current feedback is inline; target is modal with no separate route.</x:t>
  </x:si>
  <x:si>
    <x:t xml:space="preserve">YES for target UX</x:t>
  </x:si>
  <x:si>
    <x:t xml:space="preserve">A-013</x:t>
  </x:si>
  <x:si>
    <x:t xml:space="preserve">SEO / Crawling</x:t>
  </x:si>
  <x:si>
    <x:t xml:space="preserve">Prevent indexing of dummy/preview routes and staging content</x:t>
  </x:si>
  <x:si>
    <x:t xml:space="preserve">Robots currently permits broad crawling; prototype facts must not be indexed.</x:t>
  </x:si>
  <x:si>
    <x:t xml:space="preserve">A-014</x:t>
  </x:si>
  <x:si>
    <x:t xml:space="preserve">Structured data</x:t>
  </x:si>
  <x:si>
    <x:t xml:space="preserve">Publish only verified legal identity, domain, address, and contacts</x:t>
  </x:si>
  <x:si>
    <x:t xml:space="preserve">Provisional organization data can turn placeholders into search-visible facts.</x:t>
  </x:si>
  <x:si>
    <x:t xml:space="preserve">Developer / SEO + legal</x:t>
  </x:si>
  <x:si>
    <x:t xml:space="preserve">A-015</x:t>
  </x:si>
  <x:si>
    <x:t xml:space="preserve">Review and approve generic FAQ answers</x:t>
  </x:si>
  <x:si>
    <x:t xml:space="preserve">Only question set is drafted; legal answers must not be invented.</x:t>
  </x:si>
  <x:si>
    <x:t xml:space="preserve">Operations + legal reviewer</x:t>
  </x:si>
  <x:si>
    <x:t xml:space="preserve">NO for current scope</x:t>
  </x:si>
  <x:si>
    <x:t xml:space="preserve">A-016</x:t>
  </x:si>
  <x:si>
    <x:t xml:space="preserve">Content governance</x:t>
  </x:si>
  <x:si>
    <x:t xml:space="preserve">Record final content approval and remove every unresolved publication blocker</x:t>
  </x:si>
  <x:si>
    <x:t xml:space="preserve">Prototype visibility does not convert dummy data into fact.</x:t>
  </x:si>
  <x:si>
    <x:t xml:space="preserve">Project lead / final approver</x:t>
  </x:si>
  <x:si>
    <x:t xml:space="preserve">Governance rules</x:t>
  </x:si>
  <x:si>
    <x:t xml:space="preserve">FASE 2 — SOURCE &amp; DECISION NOTES</x:t>
  </x:si>
  <x:si>
    <x:t xml:space="preserve">Catatan ini menjelaskan sumber yang digunakan dan batas penggunaannya. Tidak ada web research atau fakta eksternal yang ditambahkan.</x:t>
  </x:si>
  <x:si>
    <x:t xml:space="preserve">Role</x:t>
  </x:si>
  <x:si>
    <x:t xml:space="preserve">Information Used</x:t>
  </x:si>
  <x:si>
    <x:t xml:space="preserve">Application Rule</x:t>
  </x:si>
  <x:si>
    <x:t xml:space="preserve">1</x:t>
  </x:si>
  <x:si>
    <x:t xml:space="preserve">Website/codebase aktual (direpresentasikan dalam Master Alignment)</x:t>
  </x:si>
  <x:si>
    <x:t xml:space="preserve">Primary</x:t>
  </x:si>
  <x:si>
    <x:t xml:space="preserve">Routes, navigation, CTA destinations, current features, page lifecycle, implemented inquiry behavior.</x:t>
  </x:si>
  <x:si>
    <x:t xml:space="preserve">Current implementation controls structure/behavior.</x:t>
  </x:si>
  <x:si>
    <x:t xml:space="preserve">2</x:t>
  </x:si>
  <x:si>
    <x:t xml:space="preserve">GP_Master_Alignment_Report_2026-08-05.docx / .pdf</x:t>
  </x:si>
  <x:si>
    <x:t xml:space="preserve">Primary alignment</x:t>
  </x:si>
  <x:si>
    <x:t xml:space="preserve">Confirmed identity, current pages, backlog, prototype governance, launch blockers, inquiry flow.</x:t>
  </x:si>
  <x:si>
    <x:t xml:space="preserve">Use as cross-source baseline.</x:t>
  </x:si>
  <x:si>
    <x:t xml:space="preserve">3</x:t>
  </x:si>
  <x:si>
    <x:t xml:space="preserve">GP_Fase2_Website_Brand_Blueprint_Aligned_2026-08-05.docx</x:t>
  </x:si>
  <x:si>
    <x:t xml:space="preserve">Brand/content strategy</x:t>
  </x:si>
  <x:si>
    <x:t xml:space="preserve">Positioning, users, value proposition, four service categories, message architecture, tone, claim discipline.</x:t>
  </x:si>
  <x:si>
    <x:t xml:space="preserve">Blueprint was not final copy; this workbook converts it into content copy.</x:t>
  </x:si>
  <x:si>
    <x:t xml:space="preserve">4</x:t>
  </x:si>
  <x:si>
    <x:t xml:space="preserve">GP_Brand_Guidelines_Aligned_2026-08-05.pdf</x:t>
  </x:si>
  <x:si>
    <x:t xml:space="preserve">Voice and governance</x:t>
  </x:si>
  <x:si>
    <x:t xml:space="preserve">Calm/precise/practical/commercially aware/premium/decisive tone; use/avoid words; bilingual and evidence rules.</x:t>
  </x:si>
  <x:si>
    <x:t xml:space="preserve">Global disclaimer and publication boundaries derived here.</x:t>
  </x:si>
  <x:si>
    <x:t xml:space="preserve">5</x:t>
  </x:si>
  <x:si>
    <x:t xml:space="preserve">GP_Fase1_Discovery_Aligned_2026-08-05.docx</x:t>
  </x:si>
  <x:si>
    <x:t xml:space="preserve">Business/user facts</x:t>
  </x:si>
  <x:si>
    <x:t xml:space="preserve">Legal identity, service descriptions, audience problems, inquiry triggers, initial inputs, unsuitable requests, engagement model.</x:t>
  </x:si>
  <x:si>
    <x:t xml:space="preserve">Facts used only where confirmed.</x:t>
  </x:si>
  <x:si>
    <x:t xml:space="preserve">6</x:t>
  </x:si>
  <x:si>
    <x:t xml:space="preserve">GP_Fase2_Architecture_Workbook_Aligned_2026-08-05.xlsx</x:t>
  </x:si>
  <x:si>
    <x:t xml:space="preserve">Page architecture</x:t>
  </x:si>
  <x:si>
    <x:t xml:space="preserve">Current and backlog pages, page jobs, page questions, content dependencies.</x:t>
  </x:si>
  <x:si>
    <x:t xml:space="preserve">Page list retained; questions made more decision-focused.</x:t>
  </x:si>
  <x:si>
    <x:t xml:space="preserve">GP_Fase2_Action_Routing_Workbook_Aligned_2026-08-05.xlsx</x:t>
  </x:si>
  <x:si>
    <x:t xml:space="preserve">CTA and routing</x:t>
  </x:si>
  <x:si>
    <x:t xml:space="preserve">Current navigation, CTA destinations, self-loop risks, contact success target.</x:t>
  </x:si>
  <x:si>
    <x:t xml:space="preserve">CTA label “Ajukan Konsultasi” is a QA recommendation pending approval.</x:t>
  </x:si>
  <x:si>
    <x:t xml:space="preserve">8</x:t>
  </x:si>
  <x:si>
    <x:t xml:space="preserve">GP_Fase2_Inventarisasi_Informasi_Website_Aligned_2026-08-05.xlsx</x:t>
  </x:si>
  <x:si>
    <x:t xml:space="preserve">Information inventory</x:t>
  </x:si>
  <x:si>
    <x:t xml:space="preserve">Fact/status IDs, missing proof, content dependencies, publication status.</x:t>
  </x:si>
  <x:si>
    <x:t xml:space="preserve">Used to avoid unsupported claims.</x:t>
  </x:si>
  <x:si>
    <x:t xml:space="preserve">9</x:t>
  </x:si>
  <x:si>
    <x:t xml:space="preserve">GP_Dummy_Placeholder_Register_2026-08-05.xlsx</x:t>
  </x:si>
  <x:si>
    <x:t xml:space="preserve">Evidence governance</x:t>
  </x:si>
  <x:si>
    <x:t xml:space="preserve">Dummy team, cases, articles, stats, price/timeline, contacts, policies, structured-data risks.</x:t>
  </x:si>
  <x:si>
    <x:t xml:space="preserve">All such rows are explicitly gated.</x:t>
  </x:si>
  <x:si>
    <x:t xml:space="preserve">10</x:t>
  </x:si>
  <x:si>
    <x:t xml:space="preserve">GP_Fase2_Daftar_Informasi_Belum_Tersedia_Aligned_2026-08-05.xlsx</x:t>
  </x:si>
  <x:si>
    <x:t xml:space="preserve">Missing information</x:t>
  </x:si>
  <x:si>
    <x:t xml:space="preserve">Owners, gaps, launch gates, pending contact/legal/service details.</x:t>
  </x:si>
  <x:si>
    <x:t xml:space="preserve">Converted into approval actions.</x:t>
  </x:si>
  <x:si>
    <x:t xml:space="preserve">11</x:t>
  </x:si>
  <x:si>
    <x:t xml:space="preserve">GP_Change_Decision_Log_2026-08-05.xlsx</x:t>
  </x:si>
  <x:si>
    <x:t xml:space="preserve">Approved decisions</x:t>
  </x:si>
  <x:si>
    <x:t xml:space="preserve">Target domain status, contact status, modal target, service framework, prototype decisions.</x:t>
  </x:si>
  <x:si>
    <x:t xml:space="preserve">Decisions preserved; no source deleted.</x:t>
  </x:si>
  <x:si>
    <x:t xml:space="preserve">12</x:t>
  </x:si>
  <x:si>
    <x:t xml:space="preserve">GP_Alignment_QA_Checklist_2026-08-05(2).xlsx</x:t>
  </x:si>
  <x:si>
    <x:t xml:space="preserve">Quality baseline</x:t>
  </x:si>
  <x:si>
    <x:t xml:space="preserve">Cross-file consistency and gating checks.</x:t>
  </x:si>
  <x:si>
    <x:t xml:space="preserve">Extended with content-specific positioning/tone/message QA.</x:t>
  </x:si>
</x:sst>
</file>

<file path=xl/styles.xml><?xml version="1.0" encoding="utf-8"?>
<x:styleSheet xmlns:x="http://schemas.openxmlformats.org/spreadsheetml/2006/main">
  <x:numFmts count="5">
    <x:numFmt numFmtId="176" formatCode="_(* #,##0.00_);_(* \(#,##0.00\);_(* &quot;-&quot;??_);_(@_)"/>
    <x:numFmt numFmtId="177" formatCode="_-&quot;Rp&quot;* #,##0.00_-;\-&quot;Rp&quot;* #,##0.00_-;_-&quot;Rp&quot;* &quot;-&quot;??_-;_-@_-"/>
    <x:numFmt numFmtId="178" formatCode="_(* #,##0_);_(* \(#,##0\);_(* &quot;-&quot;_);_(@_)"/>
    <x:numFmt numFmtId="179" formatCode="_-&quot;Rp&quot;* #,##0_-;\-&quot;Rp&quot;* #,##0_-;_-&quot;Rp&quot;* &quot;-&quot;??_-;_-@_-"/>
    <x:numFmt numFmtId="200" formatCode="0.0"/>
  </x:numFmts>
  <x:fonts count="37">
    <x:font>
      <x:sz val="11"/>
      <x:name val="Carlito"/>
    </x:font>
    <x:font>
      <x:b/>
      <x:sz val="20"/>
      <x:color rgb="FFFFFFFF"/>
      <x:name val="Carlito"/>
    </x:font>
    <x:font>
      <x:i/>
      <x:sz val="10"/>
      <x:color rgb="FF78716C"/>
      <x:name val="Carlito"/>
    </x:font>
    <x:font>
      <x:b/>
      <x:sz val="9"/>
      <x:color rgb="FF92400E"/>
      <x:name val="Carlito"/>
    </x:font>
    <x:font>
      <x:b/>
      <x:sz val="10"/>
      <x:color rgb="FFFFFFFF"/>
      <x:name val="Carlito"/>
    </x:font>
    <x:font>
      <x:sz val="9"/>
      <x:color rgb="FF0B0B0C"/>
      <x:name val="Carlito"/>
    </x:font>
    <x:font>
      <x:i/>
      <x:sz val="9"/>
      <x:color rgb="FF78716C"/>
      <x:name val="Carlito"/>
    </x:font>
    <x:font>
      <x:b/>
      <x:sz val="24"/>
      <x:color rgb="FFC4142A"/>
      <x:name val="Carlito"/>
    </x:font>
    <x:font>
      <x:i/>
      <x:sz val="8"/>
      <x:color rgb="FF78716C"/>
      <x:name val="Carlito"/>
    </x:font>
    <x:font>
      <x:sz val="10"/>
      <x:color rgb="FF0B0B0C"/>
      <x:name val="Carlito"/>
    </x:font>
    <x:font>
      <x:sz val="10"/>
      <x:color rgb="FF7F1D1D"/>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color rgb="FF0B0B0C"/>
      <x:name val="Carlito"/>
    </x:font>
    <x:font>
      <x:b/>
      <x:sz val="11"/>
      <x:color rgb="FFFFFFFF"/>
      <x:name val="Carlito"/>
    </x:font>
    <x:font>
      <x:i/>
      <x:sz val="11"/>
      <x:color rgb="FF78716C"/>
      <x:name val="Carlito"/>
    </x:font>
    <x:font>
      <x:b/>
      <x:sz val="11"/>
      <x:color rgb="FF92400E"/>
      <x:name val="Carlito"/>
    </x:font>
    <x:font>
      <x:b/>
      <x:sz val="11"/>
      <x:color rgb="FFC4142A"/>
      <x:name val="Carlito"/>
    </x:font>
    <x:font>
      <x:b/>
      <x:sz val="11"/>
      <x:color rgb="FF720D1C"/>
      <x:name val="Carlito"/>
    </x:font>
  </x:fonts>
  <x:fills count="45">
    <x:fill>
      <x:patternFill patternType="none"/>
    </x:fill>
    <x:fill>
      <x:patternFill patternType="gray125"/>
    </x:fill>
    <x:fill>
      <x:patternFill patternType="solid">
        <x:fgColor rgb="FF0B0B0C"/>
      </x:patternFill>
    </x:fill>
    <x:fill>
      <x:patternFill patternType="solid">
        <x:fgColor rgb="FFF4F3F1"/>
      </x:patternFill>
    </x:fill>
    <x:fill>
      <x:patternFill patternType="solid">
        <x:fgColor rgb="FFFEF3C7"/>
      </x:patternFill>
    </x:fill>
    <x:fill>
      <x:patternFill patternType="solid">
        <x:fgColor rgb="FF720D1C"/>
      </x:patternFill>
    </x:fill>
    <x:fill>
      <x:patternFill patternType="solid">
        <x:fgColor rgb="FFF8FAFC"/>
      </x:patternFill>
    </x:fill>
    <x:fill>
      <x:patternFill patternType="solid">
        <x:fgColor rgb="FFFEE2E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B0B0C"/>
      </x:patternFill>
    </x:fill>
    <x:fill>
      <x:patternFill patternType="solid">
        <x:fgColor rgb="FFF4F3F1"/>
      </x:patternFill>
    </x:fill>
    <x:fill>
      <x:patternFill patternType="solid">
        <x:fgColor rgb="FFFEF3C7"/>
      </x:patternFill>
    </x:fill>
    <x:fill>
      <x:patternFill patternType="solid">
        <x:fgColor rgb="FF720D1C"/>
      </x:patternFill>
    </x:fill>
    <x:fill>
      <x:patternFill patternType="solid">
        <x:fgColor rgb="FFF8FAFC"/>
      </x:patternFill>
    </x:fill>
    <x:fill>
      <x:patternFill patternType="solid">
        <x:fgColor rgb="FFFFFFFF"/>
      </x:patternFill>
    </x:fill>
  </x:fills>
  <x:borders count="33">
    <x:border/>
    <x:border>
      <x:left style="thin">
        <x:color rgb="FFFFFFFF"/>
      </x:left>
      <x:top style="thin">
        <x:color rgb="FFB18A4B"/>
      </x:top>
      <x:bottom style="thin">
        <x:color rgb="FFB18A4B"/>
      </x:bottom>
    </x:border>
    <x:border>
      <x:top style="thin">
        <x:color rgb="FFB18A4B"/>
      </x:top>
      <x:bottom style="thin">
        <x:color rgb="FFB18A4B"/>
      </x:bottom>
    </x:border>
    <x:border>
      <x:right style="thin">
        <x:color rgb="FFFFFFFF"/>
      </x:right>
      <x:top style="thin">
        <x:color rgb="FFB18A4B"/>
      </x:top>
      <x:bottom style="thin">
        <x:color rgb="FFB18A4B"/>
      </x:bottom>
    </x:border>
    <x:border>
      <x:left style="hair">
        <x:color rgb="FFD6D3D1"/>
      </x:left>
    </x:border>
    <x:border>
      <x:right style="hair">
        <x:color rgb="FFD6D3D1"/>
      </x:right>
    </x:border>
    <x:border>
      <x:left style="hair">
        <x:color rgb="FFD6D3D1"/>
      </x:left>
      <x:bottom style="hair">
        <x:color rgb="FFD6D3D1"/>
      </x:bottom>
    </x:border>
    <x:border>
      <x:bottom style="hair">
        <x:color rgb="FFD6D3D1"/>
      </x:bottom>
    </x:border>
    <x:border>
      <x:right style="hair">
        <x:color rgb="FFD6D3D1"/>
      </x:right>
      <x:bottom style="hair">
        <x:color rgb="FFD6D3D1"/>
      </x:bottom>
    </x:border>
    <x:border>
      <x:left style="thin">
        <x:color rgb="FFD6D3D1"/>
      </x:left>
    </x:border>
    <x:border>
      <x:right style="thin">
        <x:color rgb="FFD6D3D1"/>
      </x:right>
    </x:border>
    <x:border>
      <x:left style="thin">
        <x:color rgb="FFD6D3D1"/>
      </x:left>
      <x:bottom style="thin">
        <x:color rgb="FFB18A4B"/>
      </x:bottom>
    </x:border>
    <x:border>
      <x:bottom style="thin">
        <x:color rgb="FFB18A4B"/>
      </x:bottom>
    </x:border>
    <x:border>
      <x:right style="thin">
        <x:color rgb="FFD6D3D1"/>
      </x:right>
      <x:bottom style="thin">
        <x:color rgb="FFB18A4B"/>
      </x:bottom>
    </x:border>
    <x:border>
      <x:left style="thin">
        <x:color rgb="FFFCA5A5"/>
      </x:left>
    </x:border>
    <x:border>
      <x:right style="thin">
        <x:color rgb="FFFCA5A5"/>
      </x:right>
    </x:border>
    <x:border>
      <x:left style="thin">
        <x:color rgb="FFD6D3D1"/>
      </x:left>
      <x:bottom style="thin">
        <x:color rgb="FFD6D3D1"/>
      </x:bottom>
    </x:border>
    <x:border>
      <x:bottom style="thin">
        <x:color rgb="FFD6D3D1"/>
      </x:bottom>
    </x:border>
    <x:border>
      <x:right style="thin">
        <x:color rgb="FFD6D3D1"/>
      </x:right>
      <x:bottom style="thin">
        <x:color rgb="FFD6D3D1"/>
      </x:bottom>
    </x:border>
    <x:border>
      <x:left style="thin">
        <x:color rgb="FFFCA5A5"/>
      </x:left>
      <x:bottom style="thin">
        <x:color rgb="FFFCA5A5"/>
      </x:bottom>
    </x:border>
    <x:border>
      <x:bottom style="thin">
        <x:color rgb="FFFCA5A5"/>
      </x:bottom>
    </x:border>
    <x:border>
      <x:right style="thin">
        <x:color rgb="FFFCA5A5"/>
      </x:right>
      <x:bottom style="thin">
        <x:color rgb="FFFCA5A5"/>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B18A4B"/>
      </x:left>
      <x:right style="thin">
        <x:color rgb="FFB18A4B"/>
      </x:right>
      <x:top style="thin">
        <x:color rgb="FFB18A4B"/>
      </x:top>
      <x:bottom style="thin">
        <x:color rgb="FFB18A4B"/>
      </x:bottom>
    </x:border>
    <x:border>
      <x:left style="hair">
        <x:color rgb="FFD6D3D1"/>
      </x:left>
      <x:right style="hair">
        <x:color rgb="FFD6D3D1"/>
      </x:right>
      <x:top style="hair">
        <x:color rgb="FFD6D3D1"/>
      </x:top>
      <x:bottom style="hair">
        <x:color rgb="FFD6D3D1"/>
      </x:bottom>
    </x:border>
    <x:border>
      <x:left style="thin">
        <x:color rgb="FFD6D3D1"/>
      </x:left>
      <x:right style="thin">
        <x:color rgb="FFD6D3D1"/>
      </x:right>
      <x:top style="thin">
        <x:color rgb="FFD6D3D1"/>
      </x:top>
      <x:bottom style="thin">
        <x:color rgb="FFD6D3D1"/>
      </x:bottom>
    </x:border>
  </x:borders>
  <x:cellStyleXfs count="49">
    <x:xf numFmtId="0" fontId="0" fillId="0" borderId="0"/>
    <x:xf numFmtId="176" fontId="11" fillId="0" borderId="0" applyFont="0" applyFill="0" applyBorder="0" applyAlignment="0" applyProtection="0">
      <x:alignment vertical="center"/>
    </x:xf>
    <x:xf numFmtId="177" fontId="11" fillId="0" borderId="0" applyFont="0" applyFill="0" applyBorder="0" applyAlignment="0" applyProtection="0">
      <x:alignment vertical="center"/>
    </x:xf>
    <x:xf numFmtId="9" fontId="11" fillId="0" borderId="0" applyFont="0" applyFill="0" applyBorder="0" applyAlignment="0" applyProtection="0">
      <x:alignment vertical="center"/>
    </x:xf>
    <x:xf numFmtId="178" fontId="11" fillId="0" borderId="0" applyFont="0" applyFill="0" applyBorder="0" applyAlignment="0" applyProtection="0">
      <x:alignment vertical="center"/>
    </x:xf>
    <x:xf numFmtId="179" fontId="11"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1" fillId="8" borderId="22"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23" applyNumberFormat="0" applyFill="0" applyAlignment="0" applyProtection="0">
      <x:alignment vertical="center"/>
    </x:xf>
    <x:xf numFmtId="0" fontId="18" fillId="0" borderId="23" applyNumberFormat="0" applyFill="0" applyAlignment="0" applyProtection="0">
      <x:alignment vertical="center"/>
    </x:xf>
    <x:xf numFmtId="0" fontId="19" fillId="0" borderId="24" applyNumberFormat="0" applyFill="0" applyAlignment="0" applyProtection="0">
      <x:alignment vertical="center"/>
    </x:xf>
    <x:xf numFmtId="0" fontId="19" fillId="0" borderId="0" applyNumberFormat="0" applyFill="0" applyBorder="0" applyAlignment="0" applyProtection="0">
      <x:alignment vertical="center"/>
    </x:xf>
    <x:xf numFmtId="0" fontId="20" fillId="9" borderId="25" applyNumberFormat="0" applyAlignment="0" applyProtection="0">
      <x:alignment vertical="center"/>
    </x:xf>
    <x:xf numFmtId="0" fontId="21" fillId="10" borderId="26" applyNumberFormat="0" applyAlignment="0" applyProtection="0">
      <x:alignment vertical="center"/>
    </x:xf>
    <x:xf numFmtId="0" fontId="22" fillId="10" borderId="25" applyNumberFormat="0" applyAlignment="0" applyProtection="0">
      <x:alignment vertical="center"/>
    </x:xf>
    <x:xf numFmtId="0" fontId="23" fillId="11" borderId="27" applyNumberFormat="0" applyAlignment="0" applyProtection="0">
      <x:alignment vertical="center"/>
    </x:xf>
    <x:xf numFmtId="0" fontId="24" fillId="0" borderId="28" applyNumberFormat="0" applyFill="0" applyAlignment="0" applyProtection="0">
      <x:alignment vertical="center"/>
    </x:xf>
    <x:xf numFmtId="0" fontId="25" fillId="0" borderId="29" applyNumberFormat="0" applyFill="0" applyAlignment="0" applyProtection="0">
      <x:alignment vertical="center"/>
    </x:xf>
    <x:xf numFmtId="0" fontId="26" fillId="12" borderId="0" applyNumberFormat="0" applyBorder="0" applyAlignment="0" applyProtection="0">
      <x:alignment vertical="center"/>
    </x:xf>
    <x:xf numFmtId="0" fontId="27" fillId="13" borderId="0" applyNumberFormat="0" applyBorder="0" applyAlignment="0" applyProtection="0">
      <x:alignment vertical="center"/>
    </x:xf>
    <x:xf numFmtId="0" fontId="28" fillId="14" borderId="0" applyNumberFormat="0" applyBorder="0" applyAlignment="0" applyProtection="0">
      <x:alignment vertical="center"/>
    </x:xf>
    <x:xf numFmtId="0" fontId="29" fillId="15" borderId="0" applyNumberFormat="0" applyBorder="0" applyAlignment="0" applyProtection="0">
      <x:alignment vertical="center"/>
    </x:xf>
    <x:xf numFmtId="0" fontId="30" fillId="16" borderId="0" applyNumberFormat="0" applyBorder="0" applyAlignment="0" applyProtection="0">
      <x:alignment vertical="center"/>
    </x:xf>
    <x:xf numFmtId="0" fontId="30" fillId="17" borderId="0" applyNumberFormat="0" applyBorder="0" applyAlignment="0" applyProtection="0">
      <x:alignment vertical="center"/>
    </x:xf>
    <x:xf numFmtId="0" fontId="29" fillId="18" borderId="0" applyNumberFormat="0" applyBorder="0" applyAlignment="0" applyProtection="0">
      <x:alignment vertical="center"/>
    </x:xf>
    <x:xf numFmtId="0" fontId="29" fillId="19" borderId="0" applyNumberFormat="0" applyBorder="0" applyAlignment="0" applyProtection="0">
      <x:alignment vertical="center"/>
    </x:xf>
    <x:xf numFmtId="0" fontId="30" fillId="20" borderId="0" applyNumberFormat="0" applyBorder="0" applyAlignment="0" applyProtection="0">
      <x:alignment vertical="center"/>
    </x:xf>
    <x:xf numFmtId="0" fontId="30" fillId="21" borderId="0" applyNumberFormat="0" applyBorder="0" applyAlignment="0" applyProtection="0">
      <x:alignment vertical="center"/>
    </x:xf>
    <x:xf numFmtId="0" fontId="29" fillId="22" borderId="0" applyNumberFormat="0" applyBorder="0" applyAlignment="0" applyProtection="0">
      <x:alignment vertical="center"/>
    </x:xf>
    <x:xf numFmtId="0" fontId="29" fillId="23" borderId="0" applyNumberFormat="0" applyBorder="0" applyAlignment="0" applyProtection="0">
      <x:alignment vertical="center"/>
    </x:xf>
    <x:xf numFmtId="0" fontId="30" fillId="24" borderId="0" applyNumberFormat="0" applyBorder="0" applyAlignment="0" applyProtection="0">
      <x:alignment vertical="center"/>
    </x:xf>
    <x:xf numFmtId="0" fontId="30" fillId="25" borderId="0" applyNumberFormat="0" applyBorder="0" applyAlignment="0" applyProtection="0">
      <x:alignment vertical="center"/>
    </x:xf>
    <x:xf numFmtId="0" fontId="29" fillId="26" borderId="0" applyNumberFormat="0" applyBorder="0" applyAlignment="0" applyProtection="0">
      <x:alignment vertical="center"/>
    </x:xf>
    <x:xf numFmtId="0" fontId="29" fillId="27" borderId="0" applyNumberFormat="0" applyBorder="0" applyAlignment="0" applyProtection="0">
      <x:alignment vertical="center"/>
    </x:xf>
    <x:xf numFmtId="0" fontId="30" fillId="28" borderId="0" applyNumberFormat="0" applyBorder="0" applyAlignment="0" applyProtection="0">
      <x:alignment vertical="center"/>
    </x:xf>
    <x:xf numFmtId="0" fontId="30" fillId="29" borderId="0" applyNumberFormat="0" applyBorder="0" applyAlignment="0" applyProtection="0">
      <x:alignment vertical="center"/>
    </x:xf>
    <x:xf numFmtId="0" fontId="29" fillId="30" borderId="0" applyNumberFormat="0" applyBorder="0" applyAlignment="0" applyProtection="0">
      <x:alignment vertical="center"/>
    </x:xf>
    <x:xf numFmtId="0" fontId="29" fillId="31" borderId="0" applyNumberFormat="0" applyBorder="0" applyAlignment="0" applyProtection="0">
      <x:alignment vertical="center"/>
    </x:xf>
    <x:xf numFmtId="0" fontId="30" fillId="32" borderId="0" applyNumberFormat="0" applyBorder="0" applyAlignment="0" applyProtection="0">
      <x:alignment vertical="center"/>
    </x:xf>
    <x:xf numFmtId="0" fontId="30" fillId="33" borderId="0" applyNumberFormat="0" applyBorder="0" applyAlignment="0" applyProtection="0">
      <x:alignment vertical="center"/>
    </x:xf>
    <x:xf numFmtId="0" fontId="29" fillId="34" borderId="0" applyNumberFormat="0" applyBorder="0" applyAlignment="0" applyProtection="0">
      <x:alignment vertical="center"/>
    </x:xf>
    <x:xf numFmtId="0" fontId="29" fillId="35" borderId="0" applyNumberFormat="0" applyBorder="0" applyAlignment="0" applyProtection="0">
      <x:alignment vertical="center"/>
    </x:xf>
    <x:xf numFmtId="0" fontId="30" fillId="36" borderId="0" applyNumberFormat="0" applyBorder="0" applyAlignment="0" applyProtection="0">
      <x:alignment vertical="center"/>
    </x:xf>
    <x:xf numFmtId="0" fontId="30" fillId="37" borderId="0" applyNumberFormat="0" applyBorder="0" applyAlignment="0" applyProtection="0">
      <x:alignment vertical="center"/>
    </x:xf>
    <x:xf numFmtId="0" fontId="29" fillId="38" borderId="0" applyNumberFormat="0" applyBorder="0" applyAlignment="0" applyProtection="0">
      <x:alignment vertical="center"/>
    </x:xf>
  </x:cellStyleXfs>
  <x:cellXfs count="92">
    <x:xf numFmtId="0" fontId="0" fillId="0" borderId="0" xfId="0"/>
    <x:xf numFmtId="0" fontId="1" fillId="2" borderId="0" xfId="0" applyNumberFormat="1" applyFont="1" applyFill="1" applyBorder="1" applyAlignment="1">
      <x:alignment horizontal="lef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4" xfId="0" applyNumberFormat="1" applyFont="1" applyFill="1" applyBorder="1" applyAlignment="1">
      <x:alignment horizontal="center" vertical="top" wrapText="1"/>
    </x:xf>
    <x:xf numFmtId="0" fontId="5" fillId="0" borderId="0" xfId="0" applyNumberFormat="1" applyFont="1" applyFill="1" applyBorder="1" applyAlignment="1">
      <x:alignment horizontal="center" vertical="top" wrapText="1"/>
    </x:xf>
    <x:xf numFmtId="0" fontId="5" fillId="0" borderId="6" xfId="0" applyNumberFormat="1" applyFont="1" applyFill="1" applyBorder="1" applyAlignment="1">
      <x:alignment horizontal="center" vertical="top" wrapText="1"/>
    </x:xf>
    <x:xf numFmtId="0" fontId="5" fillId="0" borderId="7" xfId="0" applyNumberFormat="1" applyFont="1" applyFill="1" applyBorder="1" applyAlignment="1">
      <x:alignment horizontal="center" vertical="top" wrapText="1"/>
    </x:xf>
    <x:xf numFmtId="0" fontId="6" fillId="6" borderId="0" xfId="0" applyNumberFormat="1" applyFont="1" applyFill="1" applyBorder="1" applyAlignment="1">
      <x:alignment vertical="center" wrapText="1"/>
    </x:xf>
    <x:xf numFmtId="0" fontId="5" fillId="0" borderId="0" xfId="0" applyNumberFormat="1" applyFont="1" applyFill="1" applyBorder="1" applyAlignment="1">
      <x:alignment horizontal="center" vertical="center" wrapText="1"/>
    </x:xf>
    <x:xf numFmtId="2" fontId="5" fillId="0" borderId="0" xfId="0" applyNumberFormat="1" applyFont="1" applyFill="1" applyBorder="1" applyAlignment="1">
      <x:alignment horizontal="center" vertical="center" wrapText="1"/>
    </x:xf>
    <x:xf numFmtId="0" fontId="5" fillId="0" borderId="7" xfId="0" applyNumberFormat="1" applyFont="1" applyFill="1" applyBorder="1" applyAlignment="1">
      <x:alignment horizontal="center" vertical="center" wrapText="1"/>
    </x:xf>
    <x:xf numFmtId="2" fontId="5" fillId="0" borderId="7" xfId="0" applyNumberFormat="1" applyFont="1" applyFill="1" applyBorder="1" applyAlignment="1">
      <x:alignment horizontal="center" vertical="center" wrapText="1"/>
    </x:xf>
    <x:xf numFmtId="0" fontId="5" fillId="0" borderId="5" xfId="0" applyNumberFormat="1" applyFont="1" applyFill="1" applyBorder="1" applyAlignment="1">
      <x:alignment horizontal="center" vertical="top" wrapText="1"/>
    </x:xf>
    <x:xf numFmtId="0" fontId="5" fillId="0" borderId="8"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center"/>
    </x:xf>
    <x:xf numFmtId="0" fontId="7" fillId="3" borderId="9" xfId="0" applyNumberFormat="1" applyFont="1" applyFill="1" applyBorder="1" applyAlignment="1">
      <x:alignment horizontal="center" vertical="center"/>
    </x:xf>
    <x:xf numFmtId="0" fontId="7" fillId="3" borderId="0" xfId="0" applyNumberFormat="1" applyFont="1" applyFill="1" applyBorder="1" applyAlignment="1">
      <x:alignment horizontal="center" vertical="center"/>
    </x:xf>
    <x:xf numFmtId="0" fontId="7" fillId="3" borderId="10" xfId="0" applyNumberFormat="1" applyFont="1" applyFill="1" applyBorder="1" applyAlignment="1">
      <x:alignment horizontal="center" vertical="center"/>
    </x:xf>
    <x:xf numFmtId="0" fontId="7" fillId="3" borderId="11" xfId="0" applyNumberFormat="1" applyFont="1" applyFill="1" applyBorder="1" applyAlignment="1">
      <x:alignment horizontal="center" vertical="center"/>
    </x:xf>
    <x:xf numFmtId="0" fontId="7" fillId="3" borderId="12" xfId="0" applyNumberFormat="1" applyFont="1" applyFill="1" applyBorder="1" applyAlignment="1">
      <x:alignment horizontal="center" vertical="center"/>
    </x:xf>
    <x:xf numFmtId="0" fontId="7" fillId="3" borderId="13" xfId="0" applyNumberFormat="1" applyFont="1" applyFill="1" applyBorder="1" applyAlignment="1">
      <x:alignment horizontal="center" vertical="center"/>
    </x:xf>
    <x:xf numFmtId="0" fontId="8" fillId="0" borderId="0" xfId="0" applyNumberFormat="1" applyFont="1" applyFill="1" applyBorder="1" applyAlignment="1">
      <x:alignment horizontal="center" wrapText="1"/>
    </x:xf>
    <x:xf numFmtId="0" fontId="9" fillId="6" borderId="9" xfId="0" applyNumberFormat="1" applyFont="1" applyFill="1" applyBorder="1" applyAlignment="1">
      <x:alignment vertical="top" wrapText="1"/>
    </x:xf>
    <x:xf numFmtId="0" fontId="9" fillId="6" borderId="0" xfId="0" applyNumberFormat="1" applyFont="1" applyFill="1" applyBorder="1" applyAlignment="1">
      <x:alignment vertical="top" wrapText="1"/>
    </x:xf>
    <x:xf numFmtId="0" fontId="9" fillId="6" borderId="10"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0" fontId="10" fillId="7" borderId="15" xfId="0" applyNumberFormat="1" applyFont="1" applyFill="1" applyBorder="1" applyAlignment="1">
      <x:alignment vertical="top" wrapText="1"/>
    </x:xf>
    <x:xf numFmtId="0" fontId="9" fillId="6" borderId="16" xfId="0" applyNumberFormat="1" applyFont="1" applyFill="1" applyBorder="1" applyAlignment="1">
      <x:alignment vertical="top" wrapText="1"/>
    </x:xf>
    <x:xf numFmtId="0" fontId="9" fillId="6" borderId="17" xfId="0" applyNumberFormat="1" applyFont="1" applyFill="1" applyBorder="1" applyAlignment="1">
      <x:alignment vertical="top" wrapText="1"/>
    </x:xf>
    <x:xf numFmtId="0" fontId="9" fillId="6" borderId="18" xfId="0" applyNumberFormat="1" applyFont="1" applyFill="1" applyBorder="1" applyAlignment="1">
      <x:alignment vertical="top" wrapText="1"/>
    </x:xf>
    <x:xf numFmtId="0" fontId="10" fillId="7" borderId="19" xfId="0" applyNumberFormat="1" applyFont="1" applyFill="1" applyBorder="1" applyAlignment="1">
      <x:alignment vertical="top" wrapText="1"/>
    </x:xf>
    <x:xf numFmtId="0" fontId="10" fillId="7" borderId="20" xfId="0" applyNumberFormat="1" applyFont="1" applyFill="1" applyBorder="1" applyAlignment="1">
      <x:alignment vertical="top" wrapText="1"/>
    </x:xf>
    <x:xf numFmtId="0" fontId="10" fillId="7" borderId="21" xfId="0" applyNumberFormat="1" applyFont="1" applyFill="1" applyBorder="1" applyAlignment="1">
      <x:alignment vertical="top" wrapText="1"/>
    </x:xf>
    <x:xf numFmtId="2" fontId="5" fillId="0" borderId="0" xfId="0" applyNumberFormat="1" applyFont="1" applyFill="1" applyBorder="1" applyAlignment="1">
      <x:alignment horizontal="center" vertical="top" wrapText="1"/>
    </x:xf>
    <x:xf numFmtId="2" fontId="5" fillId="0" borderId="5" xfId="0" applyNumberFormat="1" applyFont="1" applyFill="1" applyBorder="1" applyAlignment="1">
      <x:alignment vertical="top" wrapText="1"/>
    </x:xf>
    <x:xf numFmtId="2" fontId="5" fillId="0" borderId="8" xfId="0" applyNumberFormat="1" applyFont="1" applyFill="1" applyBorder="1" applyAlignment="1">
      <x:alignment vertical="top" wrapText="1"/>
    </x:xf>
    <x:xf numFmtId="0" fontId="31" fillId="0" borderId="0" xfId="0" applyNumberFormat="1" applyFont="1" applyFill="1" applyBorder="1"/>
    <x:xf numFmtId="0" fontId="31" fillId="0" borderId="0" xfId="0" applyNumberFormat="1" applyFont="1" applyFill="1" applyBorder="1" applyAlignment="1">
      <x:alignment vertical="center"/>
    </x:xf>
    <x:xf numFmtId="0" fontId="31" fillId="39" borderId="0" xfId="0" applyNumberFormat="1" applyFont="1" applyFill="1" applyBorder="1" applyAlignment="1">
      <x:alignment vertical="center"/>
    </x:xf>
    <x:xf numFmtId="0" fontId="32" fillId="39" borderId="0" xfId="0" applyNumberFormat="1" applyFont="1" applyFill="1" applyBorder="1" applyAlignment="1">
      <x:alignment vertical="center"/>
    </x:xf>
    <x:xf numFmtId="0" fontId="32" fillId="39" borderId="0" xfId="0" applyNumberFormat="1" applyFont="1" applyFill="1" applyBorder="1" applyAlignment="1">
      <x:alignment horizontal="left" vertical="center"/>
    </x:xf>
    <x:xf numFmtId="0" fontId="31" fillId="40" borderId="0" xfId="0" applyNumberFormat="1" applyFont="1" applyFill="1" applyBorder="1" applyAlignment="1">
      <x:alignment vertical="center"/>
    </x:xf>
    <x:xf numFmtId="0" fontId="33" fillId="40" borderId="0" xfId="0" applyNumberFormat="1" applyFont="1" applyFill="1" applyBorder="1" applyAlignment="1">
      <x:alignment vertical="center"/>
    </x:xf>
    <x:xf numFmtId="0" fontId="33" fillId="40" borderId="0" xfId="0" applyNumberFormat="1" applyFont="1" applyFill="1" applyBorder="1" applyAlignment="1">
      <x:alignment vertical="center" wrapText="1"/>
    </x:xf>
    <x:xf numFmtId="0" fontId="31" fillId="41" borderId="0" xfId="0" applyNumberFormat="1" applyFont="1" applyFill="1" applyBorder="1" applyAlignment="1">
      <x:alignment vertical="center"/>
    </x:xf>
    <x:xf numFmtId="0" fontId="34" fillId="41" borderId="0" xfId="0" applyNumberFormat="1" applyFont="1" applyFill="1" applyBorder="1" applyAlignment="1">
      <x:alignment vertical="center"/>
    </x:xf>
    <x:xf numFmtId="0" fontId="34" fillId="41" borderId="0" xfId="0" applyNumberFormat="1" applyFont="1" applyFill="1" applyBorder="1" applyAlignment="1">
      <x:alignment vertical="center" wrapText="1"/>
    </x:xf>
    <x:xf numFmtId="0" fontId="31" fillId="42" borderId="0" xfId="0" applyNumberFormat="1" applyFont="1" applyFill="1" applyBorder="1" applyAlignment="1">
      <x:alignment vertical="center"/>
    </x:xf>
    <x:xf numFmtId="0" fontId="32" fillId="42" borderId="0" xfId="0" applyNumberFormat="1" applyFont="1" applyFill="1" applyBorder="1" applyAlignment="1">
      <x:alignment vertical="center"/>
    </x:xf>
    <x:xf numFmtId="0" fontId="32" fillId="42" borderId="30" xfId="0" applyNumberFormat="1" applyFont="1" applyFill="1" applyBorder="1" applyAlignment="1">
      <x:alignment vertical="center"/>
    </x:xf>
    <x:xf numFmtId="0" fontId="32" fillId="42" borderId="30" xfId="0" applyNumberFormat="1" applyFont="1" applyFill="1" applyBorder="1" applyAlignment="1">
      <x:alignment vertical="center" wrapText="1"/>
    </x:xf>
    <x:xf numFmtId="0" fontId="32" fillId="42" borderId="30" xfId="0" applyNumberFormat="1" applyFont="1" applyFill="1" applyBorder="1" applyAlignment="1">
      <x:alignment horizontal="center" vertical="center" wrapText="1"/>
    </x:xf>
    <x:xf numFmtId="0" fontId="31" fillId="0" borderId="31" xfId="0" applyNumberFormat="1" applyFont="1" applyFill="1" applyBorder="1" applyAlignment="1">
      <x:alignment vertical="center"/>
    </x:xf>
    <x:xf numFmtId="0" fontId="31" fillId="0" borderId="31" xfId="0" applyNumberFormat="1" applyFont="1" applyFill="1" applyBorder="1" applyAlignment="1">
      <x:alignment vertical="center" wrapText="1"/>
    </x:xf>
    <x:xf numFmtId="0" fontId="31" fillId="0" borderId="31" xfId="0" applyNumberFormat="1" applyFont="1" applyFill="1" applyBorder="1" applyAlignment="1">
      <x:alignment vertical="top" wrapText="1"/>
    </x:xf>
    <x:xf numFmtId="0" fontId="31" fillId="0" borderId="31" xfId="0" applyNumberFormat="1" applyFont="1" applyFill="1" applyBorder="1" applyAlignment="1">
      <x:alignment horizontal="center" vertical="top" wrapText="1"/>
    </x:xf>
    <x:xf numFmtId="200" fontId="31" fillId="0" borderId="31" xfId="0" applyNumberFormat="1" applyFont="1" applyFill="1" applyBorder="1" applyAlignment="1">
      <x:alignment vertical="top" wrapText="1"/>
    </x:xf>
    <x:xf numFmtId="200" fontId="31" fillId="0" borderId="31" xfId="0" applyNumberFormat="1" applyFont="1" applyFill="1" applyBorder="1" applyAlignment="1">
      <x:alignment horizontal="center" vertical="top" wrapText="1"/>
    </x:xf>
    <x:xf numFmtId="0" fontId="32" fillId="42" borderId="0" xfId="0" applyNumberFormat="1" applyFont="1" applyFill="1" applyBorder="1" applyAlignment="1">
      <x:alignment horizontal="center" vertical="center"/>
    </x:xf>
    <x:xf numFmtId="0" fontId="31" fillId="43" borderId="0" xfId="0" applyNumberFormat="1" applyFont="1" applyFill="1" applyBorder="1" applyAlignment="1">
      <x:alignment vertical="center"/>
    </x:xf>
    <x:xf numFmtId="0" fontId="31" fillId="43" borderId="32" xfId="0" applyNumberFormat="1" applyFont="1" applyFill="1" applyBorder="1" applyAlignment="1">
      <x:alignment vertical="center"/>
    </x:xf>
    <x:xf numFmtId="0" fontId="31" fillId="43" borderId="32" xfId="0" applyNumberFormat="1" applyFont="1" applyFill="1" applyBorder="1" applyAlignment="1">
      <x:alignment vertical="center" wrapText="1"/>
    </x:xf>
    <x:xf numFmtId="0" fontId="31" fillId="40" borderId="32" xfId="0" applyNumberFormat="1" applyFont="1" applyFill="1" applyBorder="1" applyAlignment="1">
      <x:alignment vertical="center" wrapText="1"/>
    </x:xf>
    <x:xf numFmtId="0" fontId="35" fillId="40" borderId="32" xfId="0" applyNumberFormat="1" applyFont="1" applyFill="1" applyBorder="1" applyAlignment="1">
      <x:alignment vertical="center" wrapText="1"/>
    </x:xf>
    <x:xf numFmtId="0" fontId="35" fillId="40" borderId="32" xfId="0" applyNumberFormat="1" applyFont="1" applyFill="1" applyBorder="1" applyAlignment="1">
      <x:alignment horizontal="center" vertical="center" wrapText="1"/>
    </x:xf>
    <x:xf numFmtId="0" fontId="32" fillId="39" borderId="0" xfId="0" applyNumberFormat="1" applyFont="1" applyFill="1" applyBorder="1" applyAlignment="1">
      <x:alignment horizontal="center" vertical="center"/>
    </x:xf>
    <x:xf numFmtId="0" fontId="36" fillId="43" borderId="32" xfId="0" applyNumberFormat="1" applyFont="1" applyFill="1" applyBorder="1" applyAlignment="1">
      <x:alignment vertical="center" wrapText="1"/>
    </x:xf>
    <x:xf numFmtId="0" fontId="0" fillId="44" borderId="0" xfId="0" applyNumberFormat="1" applyFont="1" applyFill="1" applyBorder="1"/>
    <x:xf numFmtId="0" fontId="31" fillId="44" borderId="0" xfId="0" applyNumberFormat="1" applyFont="1" applyFill="1" applyBorder="1"/>
    <x:xf numFmtId="0" fontId="31" fillId="44" borderId="31" xfId="0" applyNumberFormat="1" applyFont="1" applyFill="1" applyBorder="1"/>
    <x:xf numFmtId="0" fontId="31" fillId="44" borderId="31" xfId="0" applyNumberFormat="1" applyFont="1" applyFill="1" applyBorder="1" applyAlignment="1">
      <x:alignment wrapText="1"/>
    </x:xf>
    <x:xf numFmtId="0" fontId="31" fillId="44" borderId="31" xfId="0" applyNumberFormat="1" applyFont="1" applyFill="1" applyBorder="1" applyAlignment="1">
      <x:alignment vertical="center" wrapText="1"/>
    </x:xf>
    <x:xf numFmtId="0" fontId="36" fillId="44" borderId="31" xfId="0" applyNumberFormat="1" applyFont="1" applyFill="1" applyBorder="1" applyAlignment="1">
      <x:alignment vertical="center" wrapText="1"/>
    </x:xf>
    <x:xf numFmtId="0" fontId="0" fillId="43" borderId="0" xfId="0" applyNumberFormat="1" applyFont="1" applyFill="1" applyBorder="1"/>
    <x:xf numFmtId="0" fontId="31" fillId="43" borderId="0" xfId="0" applyNumberFormat="1" applyFont="1" applyFill="1" applyBorder="1"/>
    <x:xf numFmtId="0" fontId="31" fillId="43" borderId="31" xfId="0" applyNumberFormat="1" applyFont="1" applyFill="1" applyBorder="1"/>
    <x:xf numFmtId="0" fontId="31" fillId="43" borderId="31" xfId="0" applyNumberFormat="1" applyFont="1" applyFill="1" applyBorder="1" applyAlignment="1">
      <x:alignment wrapText="1"/>
    </x:xf>
    <x:xf numFmtId="0" fontId="31" fillId="43" borderId="31" xfId="0" applyNumberFormat="1" applyFont="1" applyFill="1" applyBorder="1" applyAlignment="1">
      <x:alignment vertical="center" wrapText="1"/>
    </x:xf>
    <x:xf numFmtId="0" fontId="36" fillId="43" borderId="31" xfId="0" applyNumberFormat="1" applyFont="1" applyFill="1" applyBorder="1" applyAlignment="1">
      <x:alignment vertical="center" wrapText="1"/>
    </x:xf>
    <x:xf numFmtId="0" fontId="33" fillId="3" borderId="0" xfId="0" applyNumberFormat="1" applyFont="1" applyFill="1" applyBorder="1" applyAlignment="1">
      <x:alignment vertical="center" wrapText="0"/>
    </x:xf>
    <x:xf numFmtId="0" fontId="34" fillId="4" borderId="0" xfId="0" applyNumberFormat="1" applyFont="1" applyFill="1" applyBorder="1" applyAlignment="1">
      <x:alignment vertical="center" wrapText="0"/>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39">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91B1B"/>
      </x:font>
      <x:fill>
        <x:patternFill>
          <x:bgColor rgb="FFFEE2E2"/>
        </x:patternFill>
      </x:fill>
    </x:dxf>
    <x:dxf>
      <x:font>
        <x:color rgb="FF92400E"/>
      </x:font>
      <x:fill>
        <x:patternFill>
          <x:bgColor rgb="FFFEF3C7"/>
        </x:patternFill>
      </x:fill>
    </x:dxf>
    <x:dxf>
      <x:font>
        <x:color rgb="FF1E40AF"/>
      </x:font>
      <x:fill>
        <x:patternFill>
          <x:bgColor rgb="FFDBEAFE"/>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1E40AF"/>
      </x:font>
      <x:fill>
        <x:patternFill>
          <x:bgColor rgb="FFDBEAFE"/>
        </x:patternFill>
      </x:fill>
    </x:dxf>
    <x:dxf>
      <x:font>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color rgb="FF92400E"/>
      </x:font>
      <x:fill>
        <x:patternFill>
          <x:bgColor rgb="FFFEF3C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7287522f95404b" /><Relationship Type="http://schemas.openxmlformats.org/officeDocument/2006/relationships/theme" Target="/xl/theme/theme1.xml" Id="R90c1a50703224cb4" /><Relationship Type="http://schemas.openxmlformats.org/officeDocument/2006/relationships/sharedStrings" Target="/xl/sharedStrings.xml" Id="Rd18c85c812514372" /><Relationship Type="http://schemas.openxmlformats.org/officeDocument/2006/relationships/worksheet" Target="/xl/worksheets/sheet1.xml" Id="Raf8dcdf0bf2749a2" /><Relationship Type="http://schemas.openxmlformats.org/officeDocument/2006/relationships/worksheet" Target="/xl/worksheets/sheet2.xml" Id="R1565ba8066ca4930" /><Relationship Type="http://schemas.openxmlformats.org/officeDocument/2006/relationships/worksheet" Target="/xl/worksheets/sheet3.xml" Id="R2b3d5754d0f64aae" /><Relationship Type="http://schemas.openxmlformats.org/officeDocument/2006/relationships/worksheet" Target="/xl/worksheets/sheet4.xml" Id="Rc5bf5fd8a5294804" /><Relationship Type="http://schemas.openxmlformats.org/officeDocument/2006/relationships/worksheet" Target="/xl/worksheets/sheet5.xml" Id="Re79fba9b9d784aed" /><Relationship Type="http://schemas.openxmlformats.org/officeDocument/2006/relationships/worksheet" Target="/xl/worksheets/sheet6.xml" Id="R70cb6ff522564d59" /><Relationship Type="http://schemas.openxmlformats.org/officeDocument/2006/relationships/worksheet" Target="/xl/worksheets/sheet7.xml" Id="R3a7cf146bd624d02" /><Relationship Type="http://schemas.openxmlformats.org/officeDocument/2006/relationships/worksheet" Target="/xl/worksheets/sheet8.xml" Id="Rc0f380a3c96e4bae" /><Relationship Type="http://schemas.openxmlformats.org/officeDocument/2006/relationships/worksheet" Target="/xl/worksheets/sheet9.xml" Id="R9734c9e333334c21" /><Relationship Type="http://schemas.openxmlformats.org/officeDocument/2006/relationships/worksheet" Target="/xl/worksheets/sheet10.xml" Id="R861354e515a94b82" /><Relationship Type="http://schemas.openxmlformats.org/officeDocument/2006/relationships/worksheet" Target="/xl/worksheets/sheet11.xml" Id="Re524d326fdc64204" /><Relationship Type="http://schemas.openxmlformats.org/officeDocument/2006/relationships/worksheet" Target="/xl/worksheets/sheet12.xml" Id="R5936f66a27df4bf6" /><Relationship Type="http://schemas.openxmlformats.org/officeDocument/2006/relationships/worksheet" Target="/xl/worksheets/sheet13.xml" Id="R5b6205bb012a4a9c" /></Relationships>
</file>

<file path=xl/drawings/_rels/drawing1.xml.rels>&#65279;<?xml version="1.0" encoding="utf-8"?><Relationships xmlns="http://schemas.openxmlformats.org/package/2006/relationships"><Relationship Type="http://schemas.openxmlformats.org/officeDocument/2006/relationships/chart" Target="/xl/drawings/charts/chart1.xml" Id="Rbefa4fe8bad241c9"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i="0" u="none">
                <a:solidFill>
                  <a:schemeClr val="tx1"/>
                </a:solidFill>
                <a:latin typeface="+mn-lt"/>
                <a:ea typeface="+mn-lt"/>
                <a:cs typeface="+mn-lt"/>
              </a:rPr>
              <a:t>Average QA Score by Page</a:t>
            </a:r>
          </a:p>
        </c:rich>
      </c:tx>
      <c:overlay val="0"/>
      <c:txPr>
        <a:bodyPr xmlns:a="http://schemas.openxmlformats.org/drawingml/2006/main" anchorCtr="1"/>
        <a:lstStyle xmlns:a="http://schemas.openxmlformats.org/drawingml/2006/main"/>
        <a:p xmlns:a="http://schemas.openxmlformats.org/drawingml/2006/main">
          <a:pPr>
            <a:defRPr sz="1800" b="1" i="0" u="none">
              <a:solidFill>
                <a:schemeClr val="tx1"/>
              </a:solidFill>
              <a:latin typeface="+mn-lt"/>
              <a:ea typeface="+mn-lt"/>
              <a:cs typeface="+mn-lt"/>
            </a:defRPr>
          </a:pPr>
        </a:p>
      </c:txPr>
    </c:title>
    <c:autoTitleDeleted val="0"/>
    <c:plotArea>
      <c:barChart>
        <c:barDir val="col"/>
        <c:grouping val="clustered"/>
        <c:varyColors val="0"/>
        <c:ser>
          <c:idx val="0"/>
          <c:order val="0"/>
          <c:tx>
            <c:strRef>
              <c:f>"Average QA"</c:f>
              <c:strCache>
                <c:ptCount val="1"/>
                <c:pt idx="0">
                  <c:v>Average QA</c:v>
                </c:pt>
              </c:strCache>
            </c:strRef>
          </c:tx>
          <c:dLbls>
            <c:delete val="1"/>
          </c:dLbls>
          <c:cat>
            <c:strRef>
              <c:f>'00_Dashboard'!$A$28:$A$40</c:f>
              <c:strCache>
                <c:ptCount val="13"/>
                <c:pt idx="0">
                  <c:v>GLOBAL</c:v>
                </c:pt>
                <c:pt idx="1">
                  <c:v>Home</c:v>
                </c:pt>
                <c:pt idx="2">
                  <c:v>Profile</c:v>
                </c:pt>
                <c:pt idx="3">
                  <c:v>Profile Detail</c:v>
                </c:pt>
                <c:pt idx="4">
                  <c:v>Services</c:v>
                </c:pt>
                <c:pt idx="5">
                  <c:v>Our Experiences</c:v>
                </c:pt>
                <c:pt idx="6">
                  <c:v>Blog</c:v>
                </c:pt>
                <c:pt idx="7">
                  <c:v>Article Detail</c:v>
                </c:pt>
                <c:pt idx="8">
                  <c:v>Contact</c:v>
                </c:pt>
                <c:pt idx="9">
                  <c:v>Service Details</c:v>
                </c:pt>
                <c:pt idx="10">
                  <c:v>FAQ</c:v>
                </c:pt>
                <c:pt idx="11">
                  <c:v>Privacy Policy</c:v>
                </c:pt>
                <c:pt idx="12">
                  <c:v>Terms &amp; Disclaimer</c:v>
                </c:pt>
              </c:strCache>
            </c:strRef>
          </c:cat>
          <c:val>
            <c:numRef>
              <c:f>'00_Dashboard'!$B$28:$B$40</c:f>
              <c:numCache>
                <c:formatCode>0.00</c:formatCode>
                <c:ptCount val="13"/>
                <c:pt idx="0">
                  <c:v>4.71428571428571</c:v>
                </c:pt>
                <c:pt idx="1">
                  <c:v>4.85714285714286</c:v>
                </c:pt>
                <c:pt idx="2">
                  <c:v>4.57142857142857</c:v>
                </c:pt>
                <c:pt idx="3">
                  <c:v>4.14285714285714</c:v>
                </c:pt>
                <c:pt idx="4">
                  <c:v>4.85714285714286</c:v>
                </c:pt>
                <c:pt idx="5">
                  <c:v>4.14285714285714</c:v>
                </c:pt>
                <c:pt idx="6">
                  <c:v>4.42857142857143</c:v>
                </c:pt>
                <c:pt idx="7">
                  <c:v>4.14285714285714</c:v>
                </c:pt>
                <c:pt idx="8">
                  <c:v>4.71428571428571</c:v>
                </c:pt>
                <c:pt idx="9">
                  <c:v>4.42857142857143</c:v>
                </c:pt>
                <c:pt idx="10">
                  <c:v>4.14285714285714</c:v>
                </c:pt>
                <c:pt idx="11">
                  <c:v>3.71428571428571</c:v>
                </c:pt>
                <c:pt idx="12">
                  <c:v>3.71428571428571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rot="-60000000" spcFirstLastPara="0" vert="horz" wrap="square" anchor="ctr" anchorCtr="1"/>
          <a:lstStyle xmlns:a="http://schemas.openxmlformats.org/drawingml/2006/main"/>
          <a:p xmlns:a="http://schemas.openxmlformats.org/drawingml/2006/main">
            <a:pPr>
              <a:defRPr sz="1000" b="0" i="0" u="none">
                <a:solidFill>
                  <a:schemeClr val="tx1"/>
                </a:solidFill>
                <a:latin typeface="+mn-lt"/>
                <a:ea typeface="+mn-lt"/>
                <a:cs typeface="+mn-lt"/>
              </a:defRPr>
            </a:pPr>
          </a:p>
        </c:txPr>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rot="-60000000" vert="horz" anchor="ctr" anchorCtr="1"/>
          <a:lstStyle xmlns:a="http://schemas.openxmlformats.org/drawingml/2006/main"/>
          <a:p xmlns:a="http://schemas.openxmlformats.org/drawingml/2006/main">
            <a:pPr>
              <a:defRPr sz="1000" b="0" i="0" u="none">
                <a:solidFill>
                  <a:schemeClr val="tx1"/>
                </a:solidFill>
                <a:latin typeface="+mn-lt"/>
                <a:ea typeface="+mn-lt"/>
                <a:cs typeface="+mn-lt"/>
              </a:defRPr>
            </a:pPr>
          </a:p>
        </c:txPr>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26</xdr:row>
      <xdr:rowOff>0</xdr:rowOff>
    </xdr:from>
    <xdr:to>
      <xdr:col>12</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fa4fe8bad241c9"/>
        </a:graphicData>
      </a:graphic>
    </xdr:graphicFrame>
    <xdr:clientData/>
  </xdr:twoCellAnchor>
</xdr:wsDr>
</file>

<file path=xl/tables/table1.xml><?xml version="1.0" encoding="utf-8"?>
<x:table xmlns:x="http://schemas.openxmlformats.org/spreadsheetml/2006/main" id="1" name="GlobalCopyTable" displayName="GlobalCopyTable" ref="A4:J44">
  <x:tableColumns count="10">
    <x:tableColumn id="1" name="ID"/>
    <x:tableColumn id="2" name="Category"/>
    <x:tableColumn id="3" name="Element"/>
    <x:tableColumn id="4" name="Indonesian Copy"/>
    <x:tableColumn id="5" name="English Copy"/>
    <x:tableColumn id="6" name="Usage / Location"/>
    <x:tableColumn id="7" name="Destination / Behavior"/>
    <x:tableColumn id="8" name="Publication Status"/>
    <x:tableColumn id="9" name="Dependency / Placeholder"/>
    <x:tableColumn id="10" name="Source Basis"/>
  </x:tableColumns>
  <x:tableStyleInfo name="TableStyleMedium2" showFirstColumn="0" showLastColumn="0" showRowStripes="1" showColumnStripes="0"/>
</x:table>
</file>

<file path=xl/tables/table2.xml><?xml version="1.0" encoding="utf-8"?>
<x:table xmlns:x="http://schemas.openxmlformats.org/spreadsheetml/2006/main" id="2" name="PageQuestionsTable" displayName="PageQuestionsTable" ref="A4:J20">
  <x:tableColumns count="10">
    <x:tableColumn id="1" name="Question ID"/>
    <x:tableColumn id="2" name="Page"/>
    <x:tableColumn id="3" name="Lifecycle"/>
    <x:tableColumn id="4" name="Primary Question — ID"/>
    <x:tableColumn id="5" name="Supporting Questions — ID"/>
    <x:tableColumn id="6" name="Primary Question — EN"/>
    <x:tableColumn id="7" name="Supporting Questions — EN"/>
    <x:tableColumn id="8" name="Answer Basis"/>
    <x:tableColumn id="9" name="Data Status"/>
    <x:tableColumn id="10" name="Publication Note"/>
  </x:tableColumns>
  <x:tableStyleInfo name="TableStyleMedium2" showFirstColumn="0" showLastColumn="0" showRowStripes="1" showColumnStripes="0"/>
</x:table>
</file>

<file path=xl/tables/table3.xml><?xml version="1.0" encoding="utf-8"?>
<x:table xmlns:x="http://schemas.openxmlformats.org/spreadsheetml/2006/main" id="3" name="ContentIDTable" displayName="ContentIDTable" ref="A4:Q48">
  <x:tableColumns count="17">
    <x:tableColumn id="1" name="Content ID"/>
    <x:tableColumn id="2" name="Page"/>
    <x:tableColumn id="3" name="Lifecycle"/>
    <x:tableColumn id="4" name="Order"/>
    <x:tableColumn id="5" name="Section / Component"/>
    <x:tableColumn id="6" name="Question ID"/>
    <x:tableColumn id="7" name="Headline"/>
    <x:tableColumn id="8" name="Body"/>
    <x:tableColumn id="9" name="Supporting Points"/>
    <x:tableColumn id="10" name="Evidence / Proof"/>
    <x:tableColumn id="11" name="Primary CTA"/>
    <x:tableColumn id="12" name="Destination"/>
    <x:tableColumn id="13" name="Secondary CTA"/>
    <x:tableColumn id="14" name="Publication Status"/>
    <x:tableColumn id="15" name="Placeholder / Dependency"/>
    <x:tableColumn id="16" name="Source Basis"/>
    <x:tableColumn id="17" name="Review Status"/>
  </x:tableColumns>
  <x:tableStyleInfo name="TableStyleMedium2" showFirstColumn="0" showLastColumn="0" showRowStripes="1" showColumnStripes="0"/>
</x:table>
</file>

<file path=xl/tables/table4.xml><?xml version="1.0" encoding="utf-8"?>
<x:table xmlns:x="http://schemas.openxmlformats.org/spreadsheetml/2006/main" id="4" name="ContentENTable" displayName="ContentENTable" ref="A4:Q48">
  <x:tableColumns count="17">
    <x:tableColumn id="1" name="Content ID"/>
    <x:tableColumn id="2" name="Page"/>
    <x:tableColumn id="3" name="Lifecycle"/>
    <x:tableColumn id="4" name="Order"/>
    <x:tableColumn id="5" name="Section / Component"/>
    <x:tableColumn id="6" name="Question ID"/>
    <x:tableColumn id="7" name="Headline"/>
    <x:tableColumn id="8" name="Body"/>
    <x:tableColumn id="9" name="Supporting Points"/>
    <x:tableColumn id="10" name="Evidence / Proof"/>
    <x:tableColumn id="11" name="Primary CTA"/>
    <x:tableColumn id="12" name="Destination"/>
    <x:tableColumn id="13" name="Secondary CTA"/>
    <x:tableColumn id="14" name="Publication Status"/>
    <x:tableColumn id="15" name="Placeholder / Dependency"/>
    <x:tableColumn id="16" name="Source Basis"/>
    <x:tableColumn id="17" name="Review Status"/>
  </x:tableColumns>
  <x:tableStyleInfo name="TableStyleMedium2" showFirstColumn="0" showLastColumn="0" showRowStripes="1" showColumnStripes="0"/>
</x:table>
</file>

<file path=xl/tables/table5.xml><?xml version="1.0" encoding="utf-8"?>
<x:table xmlns:x="http://schemas.openxmlformats.org/spreadsheetml/2006/main" id="5" name="ProofControlTable" displayName="ProofControlTable" ref="A4:J24">
  <x:tableColumns count="10">
    <x:tableColumn id="1" name="ID"/>
    <x:tableColumn id="2" name="Claim / Evidence"/>
    <x:tableColumn id="3" name="Classification"/>
    <x:tableColumn id="4" name="Allowed Public Copy / Use"/>
    <x:tableColumn id="5" name="Do Not Publish"/>
    <x:tableColumn id="6" name="Pages"/>
    <x:tableColumn id="7" name="Required Action"/>
    <x:tableColumn id="8" name="Owner"/>
    <x:tableColumn id="9" name="Release Gate"/>
    <x:tableColumn id="10" name="Source"/>
  </x:tableColumns>
  <x:tableStyleInfo name="TableStyleMedium2" showFirstColumn="0" showLastColumn="0" showRowStripes="1" showColumnStripes="0"/>
</x:table>
</file>

<file path=xl/tables/table6.xml><?xml version="1.0" encoding="utf-8"?>
<x:table xmlns:x="http://schemas.openxmlformats.org/spreadsheetml/2006/main" id="6" name="ContentQATable" displayName="ContentQATable" ref="A4:L17">
  <x:tableColumns count="12">
    <x:tableColumn id="1" name="Page"/>
    <x:tableColumn id="2" name="Scope Reviewed"/>
    <x:tableColumn id="3" name="Positioning"/>
    <x:tableColumn id="4" name="Tone"/>
    <x:tableColumn id="5" name="Clarity"/>
    <x:tableColumn id="6" name="Evidence Discipline"/>
    <x:tableColumn id="7" name="CTA Specificity"/>
    <x:tableColumn id="8" name="Bilingual Equivalence"/>
    <x:tableColumn id="9" name="Publication Readiness"/>
    <x:tableColumn id="10" name="Average Score"/>
    <x:tableColumn id="11" name="Key Finding"/>
    <x:tableColumn id="12" name="Required Action"/>
  </x:tableColumns>
  <x:tableStyleInfo name="TableStyleMedium2" showFirstColumn="0" showLastColumn="0" showRowStripes="1" showColumnStripes="0"/>
</x:table>
</file>

<file path=xl/tables/table7.xml><?xml version="1.0" encoding="utf-8"?>
<x:table xmlns:x="http://schemas.openxmlformats.org/spreadsheetml/2006/main" id="7" name="ApprovalActionsTable" displayName="ApprovalActionsTable" ref="A4:I20">
  <x:tableColumns count="9">
    <x:tableColumn id="1" name="Action ID"/>
    <x:tableColumn id="2" name="Activity / Pages"/>
    <x:tableColumn id="3" name="Required Action"/>
    <x:tableColumn id="4" name="Reason"/>
    <x:tableColumn id="5" name="Owner"/>
    <x:tableColumn id="6" name="Priority"/>
    <x:tableColumn id="7" name="Status"/>
    <x:tableColumn id="8" name="Blocks Launch?"/>
    <x:tableColumn id="9" name="Reference"/>
  </x:tableColumns>
  <x:tableStyleInfo name="TableStyleMedium2" showFirstColumn="0" showLastColumn="0" showRowStripes="1" showColumnStripes="0"/>
</x:table>
</file>

<file path=xl/tables/table8.xml><?xml version="1.0" encoding="utf-8"?>
<x:table xmlns:x="http://schemas.openxmlformats.org/spreadsheetml/2006/main" id="8" name="SourceNotesTable" displayName="SourceNotesTable" ref="A4:E16">
  <x:tableColumns count="5">
    <x:tableColumn id="1" name="Priority"/>
    <x:tableColumn id="2" name="Source"/>
    <x:tableColumn id="3" name="Role"/>
    <x:tableColumn id="4" name="Information Used"/>
    <x:tableColumn id="5" name="Application Rule"/>
  </x:tableColumns>
  <x:tableStyleInfo name="TableStyleMedium2" showFirstColumn="0" showLastColumn="0" showRowStripes="1" showColumnStripes="0"/>
</x:table>
</file>

<file path=xl/tables/table9.xml><?xml version="1.0" encoding="utf-8"?>
<x:table xmlns:x="http://schemas.openxmlformats.org/spreadsheetml/2006/main" id="9" name="tblPageSectionMapping" displayName="tblPageSectionMapping" ref="A4:AE50" headerRowCount="1" totalsRowCount="0" totalsRowShown="0">
  <x:tableColumns count="31">
    <x:tableColumn id="1" name="Mapping ID"/>
    <x:tableColumn id="2" name="Mapping Type"/>
    <x:tableColumn id="3" name="Content ID"/>
    <x:tableColumn id="4" name="Page"/>
    <x:tableColumn id="5" name="Lifecycle"/>
    <x:tableColumn id="6" name="Locale Coverage"/>
    <x:tableColumn id="7" name="Route / Target"/>
    <x:tableColumn id="8" name="Order"/>
    <x:tableColumn id="9" name="Section / Component"/>
    <x:tableColumn id="10" name="Section Family"/>
    <x:tableColumn id="11" name="Variant"/>
    <x:tableColumn id="12" name="Headline / Identifier"/>
    <x:tableColumn id="13" name="Implemented Component / Location"/>
    <x:tableColumn id="14" name="Implementation Status"/>
    <x:tableColumn id="15" name="Asset ID"/>
    <x:tableColumn id="16" name="Reference ID"/>
    <x:tableColumn id="17" name="Structure Note"/>
    <x:tableColumn id="18" name="Wireframe Required"/>
    <x:tableColumn id="19" name="Wireframe ID"/>
    <x:tableColumn id="20" name="Decision Category"/>
    <x:tableColumn id="21" name="Copy Approval Status"/>
    <x:tableColumn id="22" name="Publication Status"/>
    <x:tableColumn id="23" name="Primary CTA"/>
    <x:tableColumn id="24" name="Destination"/>
    <x:tableColumn id="25" name="UI/UX Review"/>
    <x:tableColumn id="26" name="Approval Status"/>
    <x:tableColumn id="27" name="Source Evidence"/>
    <x:tableColumn id="28" name="Structure QA"/>
    <x:tableColumn id="29" name="Mapping Status"/>
    <x:tableColumn id="30" name="Reviewer"/>
    <x:tableColumn id="31" name="Review Date"/>
  </x:tableColumns>
  <x:tableStyleInfo name="TableStyleMedium2" showFirstColumn="0" showLastColumn="0" showRowStripes="1" showColumnStripes="0"/>
</x:table>
</file>

<file path=xl/tables/table10.xml><?xml version="1.0" encoding="utf-8"?>
<x:table xmlns:x="http://schemas.openxmlformats.org/spreadsheetml/2006/main" id="10" name="tblAssetRegister" displayName="tblAssetRegister" ref="A4:P22" headerRowCount="1" totalsRowCount="0" totalsRowShown="0">
  <x:tableColumns count="16">
    <x:tableColumn id="1" name="Asset ID"/>
    <x:tableColumn id="2" name="File Path"/>
    <x:tableColumn id="3" name="Format"/>
    <x:tableColumn id="4" name="Dimensions"/>
    <x:tableColumn id="5" name="Size KB"/>
    <x:tableColumn id="6" name="Used By"/>
    <x:tableColumn id="7" name="Page / Section"/>
    <x:tableColumn id="8" name="Current Role"/>
    <x:tableColumn id="9" name="Classification"/>
    <x:tableColumn id="10" name="Rights / Consent"/>
    <x:tableColumn id="11" name="Launch Decision"/>
    <x:tableColumn id="12" name="Alt Text / Copy Source"/>
    <x:tableColumn id="13" name="Replacement Required"/>
    <x:tableColumn id="14" name="Source Evidence"/>
    <x:tableColumn id="15" name="Approval Status"/>
    <x:tableColumn id="16" name="Register QA"/>
  </x:tableColumns>
  <x:tableStyleInfo name="TableStyleMedium2" showFirstColumn="0" showLastColumn="0" showRowStripes="1" showColumnStripes="0"/>
</x:table>
</file>

<file path=xl/tables/table11.xml><?xml version="1.0" encoding="utf-8"?>
<x:table xmlns:x="http://schemas.openxmlformats.org/spreadsheetml/2006/main" id="11" name="tblReferenceRegister" displayName="tblReferenceRegister" ref="A4:M31" headerRowCount="1" totalsRowCount="0" totalsRowShown="0">
  <x:tableColumns count="13">
    <x:tableColumn id="1" name="Reference ID"/>
    <x:tableColumn id="2" name="Reference Type"/>
    <x:tableColumn id="3" name="Source / Path"/>
    <x:tableColumn id="4" name="Relevant Section"/>
    <x:tableColumn id="5" name="Used By"/>
    <x:tableColumn id="6" name="Purpose"/>
    <x:tableColumn id="7" name="Reuse Scope"/>
    <x:tableColumn id="8" name="Priority"/>
    <x:tableColumn id="9" name="Status"/>
    <x:tableColumn id="10" name="Known Limitation"/>
    <x:tableColumn id="11" name="Last Verified"/>
    <x:tableColumn id="12" name="Owner / Reviewer"/>
    <x:tableColumn id="13" name="Register QA"/>
  </x:tableColumns>
  <x:tableStyleInfo name="TableStyleMedium2" showFirstColumn="0" showLastColumn="0" showRowStripes="1" showColumnStripes="0"/>
</x:table>
</file>

<file path=xl/tables/table12.xml><?xml version="1.0" encoding="utf-8"?>
<x:table xmlns:x="http://schemas.openxmlformats.org/spreadsheetml/2006/main" id="12" name="tblMappingQA" displayName="tblMappingQA" ref="A4:U17" headerRowCount="1" totalsRowCount="0" totalsRowShown="0">
  <x:tableColumns count="21">
    <x:tableColumn id="1" name="QA ID"/>
    <x:tableColumn id="2" name="Page"/>
    <x:tableColumn id="3" name="Lifecycle"/>
    <x:tableColumn id="4" name="Route ID"/>
    <x:tableColumn id="5" name="Route EN"/>
    <x:tableColumn id="6" name="Route Status"/>
    <x:tableColumn id="7" name="Content Blocks"/>
    <x:tableColumn id="8" name="Website-only Blocks"/>
    <x:tableColumn id="9" name="Copy Ready"/>
    <x:tableColumn id="10" name="Copy Blocked"/>
    <x:tableColumn id="11" name="Structure QA"/>
    <x:tableColumn id="12" name="Implementation Match"/>
    <x:tableColumn id="13" name="Asset / Reference QA"/>
    <x:tableColumn id="14" name="Wireframe State"/>
    <x:tableColumn id="15" name="UI/UX Review"/>
    <x:tableColumn id="16" name="Approval Status"/>
    <x:tableColumn id="17" name="Open Blocker"/>
    <x:tableColumn id="18" name="Recommended Action"/>
    <x:tableColumn id="19" name="Final Result"/>
    <x:tableColumn id="20" name="Reviewer"/>
    <x:tableColumn id="21" name="Review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dfd9ab10d61492d" /></Relationships>
</file>

<file path=xl/worksheets/_rels/sheet2.xml.rels>&#65279;<?xml version="1.0" encoding="utf-8"?><Relationships xmlns="http://schemas.openxmlformats.org/package/2006/relationships"><Relationship Type="http://schemas.openxmlformats.org/officeDocument/2006/relationships/table" Target="/xl/tables/table1.xml" Id="Ra2b195282cae4817" /></Relationships>
</file>

<file path=xl/worksheets/_rels/sheet3.xml.rels>&#65279;<?xml version="1.0" encoding="utf-8"?><Relationships xmlns="http://schemas.openxmlformats.org/package/2006/relationships"><Relationship Type="http://schemas.openxmlformats.org/officeDocument/2006/relationships/table" Target="/xl/tables/table2.xml" Id="Rbb8859fc1fd24e59" /></Relationships>
</file>

<file path=xl/worksheets/_rels/sheet4.xml.rels>&#65279;<?xml version="1.0" encoding="utf-8"?><Relationships xmlns="http://schemas.openxmlformats.org/package/2006/relationships"><Relationship Type="http://schemas.openxmlformats.org/officeDocument/2006/relationships/table" Target="/xl/tables/table3.xml" Id="R63215241991943a5" /></Relationships>
</file>

<file path=xl/worksheets/_rels/sheet5.xml.rels>&#65279;<?xml version="1.0" encoding="utf-8"?><Relationships xmlns="http://schemas.openxmlformats.org/package/2006/relationships"><Relationship Type="http://schemas.openxmlformats.org/officeDocument/2006/relationships/table" Target="/xl/tables/table4.xml" Id="R6a5a3eec66f5407f" /></Relationships>
</file>

<file path=xl/worksheets/_rels/sheet6.xml.rels>&#65279;<?xml version="1.0" encoding="utf-8"?><Relationships xmlns="http://schemas.openxmlformats.org/package/2006/relationships"><Relationship Type="http://schemas.openxmlformats.org/officeDocument/2006/relationships/table" Target="/xl/tables/table5.xml" Id="Re18f078f6cf745de" /></Relationships>
</file>

<file path=xl/worksheets/_rels/sheet7.xml.rels>&#65279;<?xml version="1.0" encoding="utf-8"?><Relationships xmlns="http://schemas.openxmlformats.org/package/2006/relationships"><Relationship Type="http://schemas.openxmlformats.org/officeDocument/2006/relationships/table" Target="/xl/tables/table6.xml" Id="R0dcdc98e73b148a9" /></Relationships>
</file>

<file path=xl/worksheets/_rels/sheet8.xml.rels>&#65279;<?xml version="1.0" encoding="utf-8"?><Relationships xmlns="http://schemas.openxmlformats.org/package/2006/relationships"><Relationship Type="http://schemas.openxmlformats.org/officeDocument/2006/relationships/table" Target="/xl/tables/table7.xml" Id="R47c6bc99dc3941ed" /></Relationships>
</file>

<file path=xl/worksheets/_rels/sheet9.xml.rels>&#65279;<?xml version="1.0" encoding="utf-8"?><Relationships xmlns="http://schemas.openxmlformats.org/package/2006/relationships"><Relationship Type="http://schemas.openxmlformats.org/officeDocument/2006/relationships/table" Target="/xl/tables/table8.xml" Id="Re1fb1423a40d48b4" /></Relationships>
</file>

<file path=xl/worksheets/_rels/sheet10.xml.rels>&#65279;<?xml version="1.0" encoding="utf-8"?><Relationships xmlns="http://schemas.openxmlformats.org/package/2006/relationships"><Relationship Type="http://schemas.openxmlformats.org/officeDocument/2006/relationships/table" Target="/xl/tables/table9.xml" Id="R34f08a3d2c2644f5" /></Relationships>
</file>

<file path=xl/worksheets/_rels/sheet11.xml.rels>&#65279;<?xml version="1.0" encoding="utf-8"?><Relationships xmlns="http://schemas.openxmlformats.org/package/2006/relationships"><Relationship Type="http://schemas.openxmlformats.org/officeDocument/2006/relationships/table" Target="/xl/tables/table10.xml" Id="R97c63bb3d7fc41f5" /></Relationships>
</file>

<file path=xl/worksheets/_rels/sheet12.xml.rels>&#65279;<?xml version="1.0" encoding="utf-8"?><Relationships xmlns="http://schemas.openxmlformats.org/package/2006/relationships"><Relationship Type="http://schemas.openxmlformats.org/officeDocument/2006/relationships/table" Target="/xl/tables/table11.xml" Id="Rb08196de1c3142dd" /></Relationships>
</file>

<file path=xl/worksheets/_rels/sheet13.xml.rels>&#65279;<?xml version="1.0" encoding="utf-8"?><Relationships xmlns="http://schemas.openxmlformats.org/package/2006/relationships"><Relationship Type="http://schemas.openxmlformats.org/officeDocument/2006/relationships/table" Target="/xl/tables/table12.xml" Id="R14d4d86c093d4789" /></Relationships>
</file>

<file path=xl/worksheets/sheet1.xml><?xml version="1.0" encoding="utf-8"?>
<x:worksheet xmlns:x="http://schemas.openxmlformats.org/spreadsheetml/2006/main">
  <x:sheetFormatPr defaultColWidth="9" defaultRowHeight="14"/>
  <x:cols>
    <x:col min="1" max="1" width="24" customWidth="1"/>
    <x:col min="2" max="2" width="14" customWidth="1"/>
    <x:col min="3" max="3" width="5" customWidth="1"/>
    <x:col min="4" max="4" width="18" customWidth="1"/>
    <x:col min="5" max="5" width="14" customWidth="1"/>
    <x:col min="6" max="6" width="22" customWidth="1"/>
    <x:col min="7" max="7" width="18" customWidth="1"/>
    <x:col min="8" max="8" width="14" customWidth="1"/>
    <x:col min="9" max="9" width="12" customWidth="1"/>
    <x:col min="10" max="10" width="18" customWidth="1"/>
    <x:col min="11" max="11" width="14" customWidth="1"/>
    <x:col min="12" max="12" width="18" customWidth="1"/>
  </x:cols>
  <x:sheetData>
    <x:row r="1" ht="42" customHeight="1">
      <x:c r="A1" s="1" t="s">
        <x:v>0</x:v>
      </x:c>
      <x:c r="B1" s="1"/>
      <x:c r="C1" s="1"/>
      <x:c r="D1" s="1"/>
      <x:c r="E1" s="1"/>
      <x:c r="F1" s="1"/>
      <x:c r="G1" s="1"/>
      <x:c r="H1" s="1"/>
      <x:c r="I1" s="1"/>
      <x:c r="J1" s="1"/>
      <x:c r="K1" s="1"/>
      <x:c r="L1" s="1"/>
    </x:row>
    <x:row r="2" ht="30" customHeight="1">
      <x:c r="A2" s="2" t="str">
        <x:v>Galdino &amp; Partner — final copy, page questions, GLOBAL system copy, proof control, positioning/tone QA, launch actions, and implementation mapping. Original content prepared 6 Agustus 2026; mapping extension verified 14 Agustus 2026.</x:v>
      </x:c>
      <x:c r="B2" s="2"/>
      <x:c r="C2" s="2"/>
      <x:c r="D2" s="2"/>
      <x:c r="E2" s="2"/>
      <x:c r="F2" s="2"/>
      <x:c r="G2" s="2"/>
      <x:c r="H2" s="2"/>
      <x:c r="I2" s="2"/>
      <x:c r="J2" s="2"/>
      <x:c r="K2" s="2"/>
      <x:c r="L2" s="2"/>
    </x:row>
    <x:row r="4">
      <x:c r="A4" s="24" t="s">
        <x:v>1</x:v>
      </x:c>
      <x:c r="B4" s="24"/>
      <x:c r="C4" s="24"/>
      <x:c r="D4" s="24" t="s">
        <x:v>2</x:v>
      </x:c>
      <x:c r="E4" s="24"/>
      <x:c r="F4" s="24"/>
      <x:c r="G4" s="24" t="s">
        <x:v>3</x:v>
      </x:c>
      <x:c r="H4" s="24"/>
      <x:c r="I4" s="24"/>
      <x:c r="J4" s="24" t="s">
        <x:v>4</x:v>
      </x:c>
      <x:c r="K4" s="24"/>
      <x:c r="L4" s="24"/>
    </x:row>
    <x:row r="5">
      <x:c r="A5" s="25" t="n">
        <x:f>COUNTA('02_Page_Questions'!A5:A20)</x:f>
        <x:v>16</x:v>
      </x:c>
      <x:c r="B5" s="26"/>
      <x:c r="C5" s="27"/>
      <x:c r="D5" s="25" t="n">
        <x:f>COUNTA('03_Content_ID'!A5:A48)</x:f>
        <x:v>44</x:v>
      </x:c>
      <x:c r="E5" s="26"/>
      <x:c r="F5" s="27"/>
      <x:c r="G5" s="25" t="n">
        <x:f>COUNTIF('03_Content_ID'!Q5:Q48,"READY FOR CONTENT APPROVAL")</x:f>
        <x:v>29</x:v>
      </x:c>
      <x:c r="H5" s="26"/>
      <x:c r="I5" s="27"/>
      <x:c r="J5" s="25" t="n">
        <x:f>COUNTIF('07_Approval_Actions'!F5:F20,"CRITICAL")</x:f>
        <x:v>10</x:v>
      </x:c>
      <x:c r="K5" s="26"/>
      <x:c r="L5" s="27"/>
    </x:row>
    <x:row r="6">
      <x:c r="A6" s="25"/>
      <x:c r="B6" s="26"/>
      <x:c r="C6" s="27"/>
      <x:c r="D6" s="25"/>
      <x:c r="E6" s="26"/>
      <x:c r="F6" s="27"/>
      <x:c r="G6" s="25"/>
      <x:c r="H6" s="26"/>
      <x:c r="I6" s="27"/>
      <x:c r="J6" s="25"/>
      <x:c r="K6" s="26"/>
      <x:c r="L6" s="27"/>
    </x:row>
    <x:row r="7">
      <x:c r="A7" s="28"/>
      <x:c r="B7" s="29"/>
      <x:c r="C7" s="30"/>
      <x:c r="D7" s="28"/>
      <x:c r="E7" s="29"/>
      <x:c r="F7" s="30"/>
      <x:c r="G7" s="28"/>
      <x:c r="H7" s="29"/>
      <x:c r="I7" s="30"/>
      <x:c r="J7" s="28"/>
      <x:c r="K7" s="29"/>
      <x:c r="L7" s="30"/>
    </x:row>
    <x:row r="8" ht="28" customHeight="1">
      <x:c r="A8" s="31" t="s">
        <x:v>5</x:v>
      </x:c>
      <x:c r="B8" s="31" t="s">
        <x:v>6</x:v>
      </x:c>
      <x:c r="C8" s="31" t="s">
        <x:v>6</x:v>
      </x:c>
      <x:c r="D8" s="31" t="s">
        <x:v>7</x:v>
      </x:c>
      <x:c r="E8" s="31" t="s">
        <x:v>6</x:v>
      </x:c>
      <x:c r="F8" s="31" t="s">
        <x:v>6</x:v>
      </x:c>
      <x:c r="G8" s="31" t="s">
        <x:v>8</x:v>
      </x:c>
      <x:c r="H8" s="31" t="s">
        <x:v>6</x:v>
      </x:c>
      <x:c r="I8" s="31" t="s">
        <x:v>6</x:v>
      </x:c>
      <x:c r="J8" s="31" t="s">
        <x:v>9</x:v>
      </x:c>
      <x:c r="K8" s="31" t="s">
        <x:v>6</x:v>
      </x:c>
      <x:c r="L8" s="31" t="s">
        <x:v>6</x:v>
      </x:c>
    </x:row>
    <x:row r="10">
      <x:c r="A10" s="4" t="s">
        <x:v>10</x:v>
      </x:c>
      <x:c r="B10" s="5"/>
      <x:c r="C10" s="5"/>
      <x:c r="D10" s="5"/>
      <x:c r="E10" s="5"/>
      <x:c r="F10" s="6"/>
      <x:c r="G10" s="4" t="s">
        <x:v>11</x:v>
      </x:c>
      <x:c r="H10" s="5"/>
      <x:c r="I10" s="5"/>
      <x:c r="J10" s="5"/>
      <x:c r="K10" s="5"/>
      <x:c r="L10" s="6"/>
    </x:row>
    <x:row r="11" ht="24" customHeight="1">
      <x:c r="A11" s="32" t="s">
        <x:v>12</x:v>
      </x:c>
      <x:c r="B11" s="33"/>
      <x:c r="C11" s="33"/>
      <x:c r="D11" s="33"/>
      <x:c r="E11" s="33"/>
      <x:c r="F11" s="34"/>
      <x:c r="G11" s="35" t="s">
        <x:v>13</x:v>
      </x:c>
      <x:c r="H11" s="36"/>
      <x:c r="I11" s="36"/>
      <x:c r="J11" s="36"/>
      <x:c r="K11" s="36"/>
      <x:c r="L11" s="37"/>
    </x:row>
    <x:row r="12" ht="24" customHeight="1">
      <x:c r="A12" s="32"/>
      <x:c r="B12" s="33"/>
      <x:c r="C12" s="33"/>
      <x:c r="D12" s="33"/>
      <x:c r="E12" s="33"/>
      <x:c r="F12" s="34"/>
      <x:c r="G12" s="35"/>
      <x:c r="H12" s="36"/>
      <x:c r="I12" s="36"/>
      <x:c r="J12" s="36"/>
      <x:c r="K12" s="36"/>
      <x:c r="L12" s="37"/>
    </x:row>
    <x:row r="13" ht="24" customHeight="1">
      <x:c r="A13" s="32"/>
      <x:c r="B13" s="33"/>
      <x:c r="C13" s="33"/>
      <x:c r="D13" s="33"/>
      <x:c r="E13" s="33"/>
      <x:c r="F13" s="34"/>
      <x:c r="G13" s="35"/>
      <x:c r="H13" s="36"/>
      <x:c r="I13" s="36"/>
      <x:c r="J13" s="36"/>
      <x:c r="K13" s="36"/>
      <x:c r="L13" s="37"/>
    </x:row>
    <x:row r="14" ht="24" customHeight="1">
      <x:c r="A14" s="32"/>
      <x:c r="B14" s="33"/>
      <x:c r="C14" s="33"/>
      <x:c r="D14" s="33"/>
      <x:c r="E14" s="33"/>
      <x:c r="F14" s="34"/>
      <x:c r="G14" s="35"/>
      <x:c r="H14" s="36"/>
      <x:c r="I14" s="36"/>
      <x:c r="J14" s="36"/>
      <x:c r="K14" s="36"/>
      <x:c r="L14" s="37"/>
    </x:row>
    <x:row r="15" ht="24" customHeight="1">
      <x:c r="A15" s="32"/>
      <x:c r="B15" s="33"/>
      <x:c r="C15" s="33"/>
      <x:c r="D15" s="33"/>
      <x:c r="E15" s="33"/>
      <x:c r="F15" s="34"/>
      <x:c r="G15" s="35"/>
      <x:c r="H15" s="36"/>
      <x:c r="I15" s="36"/>
      <x:c r="J15" s="36"/>
      <x:c r="K15" s="36"/>
      <x:c r="L15" s="37"/>
    </x:row>
    <x:row r="16" ht="24" customHeight="1">
      <x:c r="A16" s="32"/>
      <x:c r="B16" s="33"/>
      <x:c r="C16" s="33"/>
      <x:c r="D16" s="33"/>
      <x:c r="E16" s="33"/>
      <x:c r="F16" s="34"/>
      <x:c r="G16" s="35"/>
      <x:c r="H16" s="36"/>
      <x:c r="I16" s="36"/>
      <x:c r="J16" s="36"/>
      <x:c r="K16" s="36"/>
      <x:c r="L16" s="37"/>
    </x:row>
    <x:row r="17" ht="24" customHeight="1">
      <x:c r="A17" s="38"/>
      <x:c r="B17" s="39"/>
      <x:c r="C17" s="39"/>
      <x:c r="D17" s="39"/>
      <x:c r="E17" s="39"/>
      <x:c r="F17" s="40"/>
      <x:c r="G17" s="41"/>
      <x:c r="H17" s="42"/>
      <x:c r="I17" s="42"/>
      <x:c r="J17" s="42"/>
      <x:c r="K17" s="42"/>
      <x:c r="L17" s="43"/>
    </x:row>
    <x:row r="19">
      <x:c r="A19" s="4" t="s">
        <x:v>14</x:v>
      </x:c>
      <x:c r="B19" s="5"/>
      <x:c r="C19" s="5"/>
      <x:c r="D19" s="5"/>
      <x:c r="E19" s="5"/>
      <x:c r="F19" s="6"/>
    </x:row>
    <x:row r="20">
      <x:c r="A20" s="4" t="s">
        <x:v>15</x:v>
      </x:c>
      <x:c r="B20" s="6" t="s">
        <x:v>16</x:v>
      </x:c>
      <x:c r="D20" s="4" t="s">
        <x:v>15</x:v>
      </x:c>
      <x:c r="E20" s="5" t="s">
        <x:v>17</x:v>
      </x:c>
      <x:c r="F20" s="6" t="s">
        <x:v>18</x:v>
      </x:c>
    </x:row>
    <x:row r="21" ht="23">
      <x:c r="A21" s="7" t="s">
        <x:v>19</x:v>
      </x:c>
      <x:c r="B21" s="22" t="n">
        <x:f>COUNTIF('02_Page_Questions'!C5:C20,"CURRENT")</x:f>
        <x:v>5</x:v>
      </x:c>
      <x:c r="D21" s="7" t="s">
        <x:v>20</x:v>
      </x:c>
      <x:c r="E21" s="44" t="n">
        <x:f>AVERAGE('06_Positioning_Tone_QA'!J5:J17)</x:f>
        <x:v>4.3516483516483495</x:v>
      </x:c>
      <x:c r="F21" s="9" t="s">
        <x:v>21</x:v>
      </x:c>
    </x:row>
    <x:row r="22" ht="23">
      <x:c r="A22" s="7" t="s">
        <x:v>22</x:v>
      </x:c>
      <x:c r="B22" s="22" t="n">
        <x:f>COUNTIF('02_Page_Questions'!C5:C20,"CURRENT PROTOTYPE")+COUNTIF('02_Page_Questions'!C5:C20,"CURRENT PROTOTYPE / NOINDEX")+COUNTIF('02_Page_Questions'!C5:C20,"CURRENT PREVIEW")</x:f>
        <x:v>4</x:v>
      </x:c>
      <x:c r="D22" s="7" t="s">
        <x:v>23</x:v>
      </x:c>
      <x:c r="E22" s="14" t="n">
        <x:f>COUNTIF('03_Content_ID'!Q5:Q48,"READY FOR CONTENT APPROVAL")</x:f>
        <x:v>29</x:v>
      </x:c>
      <x:c r="F22" s="9" t="s">
        <x:v>8</x:v>
      </x:c>
    </x:row>
    <x:row r="23" ht="23">
      <x:c r="A23" s="7" t="s">
        <x:v>24</x:v>
      </x:c>
      <x:c r="B23" s="22" t="n">
        <x:f>COUNTIF('02_Page_Questions'!C5:C20,"BACKLOG")+COUNTIF('02_Page_Questions'!C5:C20,"BACKLOG / LAUNCH BLOCKER")</x:f>
        <x:v>7</x:v>
      </x:c>
      <x:c r="D23" s="7" t="s">
        <x:v>25</x:v>
      </x:c>
      <x:c r="E23" s="14" t="n">
        <x:f>COUNTA('03_Content_ID'!A5:A48)-COUNTIF('03_Content_ID'!Q5:Q48,"READY FOR CONTENT APPROVAL")</x:f>
        <x:v>15</x:v>
      </x:c>
      <x:c r="F23" s="9" t="s">
        <x:v>26</x:v>
      </x:c>
    </x:row>
    <x:row r="24">
      <x:c r="A24" s="10" t="s">
        <x:v>27</x:v>
      </x:c>
      <x:c r="B24" s="23" t="n">
        <x:f>COUNTA('03_Content_ID'!A5:A48)-COUNTIF('03_Content_ID'!Q5:Q48,"READY FOR CONTENT APPROVAL")</x:f>
        <x:v>15</x:v>
      </x:c>
      <x:c r="D24" s="10" t="s">
        <x:v>28</x:v>
      </x:c>
      <x:c r="E24" s="16" t="n">
        <x:f>COUNTIF('07_Approval_Actions'!G5:G20,"&lt;&gt;DONE")-COUNTIF('07_Approval_Actions'!G5:G20,"REMOVED")</x:f>
        <x:v>16</x:v>
      </x:c>
      <x:c r="F24" s="12" t="s">
        <x:v>29</x:v>
      </x:c>
    </x:row>
    <x:row r="27">
      <x:c r="A27" s="4" t="s">
        <x:v>30</x:v>
      </x:c>
      <x:c r="B27" s="6" t="s">
        <x:v>31</x:v>
      </x:c>
    </x:row>
    <x:row r="28">
      <x:c r="A28" s="7" t="s">
        <x:v>32</x:v>
      </x:c>
      <x:c r="B28" s="45" t="n">
        <x:f>'06_Positioning_Tone_QA'!J5</x:f>
        <x:v>4.714285714285714</x:v>
      </x:c>
    </x:row>
    <x:row r="29">
      <x:c r="A29" s="7" t="s">
        <x:v>33</x:v>
      </x:c>
      <x:c r="B29" s="45" t="n">
        <x:f>'06_Positioning_Tone_QA'!J6</x:f>
        <x:v>4.85714285714286</x:v>
      </x:c>
    </x:row>
    <x:row r="30">
      <x:c r="A30" s="7" t="s">
        <x:v>34</x:v>
      </x:c>
      <x:c r="B30" s="45" t="n">
        <x:f>'06_Positioning_Tone_QA'!J7</x:f>
        <x:v>4.57142857142857</x:v>
      </x:c>
    </x:row>
    <x:row r="31">
      <x:c r="A31" s="7" t="s">
        <x:v>35</x:v>
      </x:c>
      <x:c r="B31" s="45" t="n">
        <x:f>'06_Positioning_Tone_QA'!J8</x:f>
        <x:v>4.14285714285714</x:v>
      </x:c>
    </x:row>
    <x:row r="32">
      <x:c r="A32" s="7" t="s">
        <x:v>36</x:v>
      </x:c>
      <x:c r="B32" s="45" t="n">
        <x:f>'06_Positioning_Tone_QA'!J9</x:f>
        <x:v>4.85714285714286</x:v>
      </x:c>
    </x:row>
    <x:row r="33">
      <x:c r="A33" s="7" t="s">
        <x:v>37</x:v>
      </x:c>
      <x:c r="B33" s="45" t="n">
        <x:f>'06_Positioning_Tone_QA'!J10</x:f>
        <x:v>4.14285714285714</x:v>
      </x:c>
    </x:row>
    <x:row r="34">
      <x:c r="A34" s="7" t="s">
        <x:v>38</x:v>
      </x:c>
      <x:c r="B34" s="45" t="n">
        <x:f>'06_Positioning_Tone_QA'!J11</x:f>
        <x:v>4.42857142857143</x:v>
      </x:c>
    </x:row>
    <x:row r="35">
      <x:c r="A35" s="7" t="s">
        <x:v>39</x:v>
      </x:c>
      <x:c r="B35" s="45" t="n">
        <x:f>'06_Positioning_Tone_QA'!J12</x:f>
        <x:v>4.14285714285714</x:v>
      </x:c>
    </x:row>
    <x:row r="36">
      <x:c r="A36" s="7" t="s">
        <x:v>40</x:v>
      </x:c>
      <x:c r="B36" s="45" t="n">
        <x:f>'06_Positioning_Tone_QA'!J13</x:f>
        <x:v>4.71428571428571</x:v>
      </x:c>
    </x:row>
    <x:row r="37">
      <x:c r="A37" s="7" t="s">
        <x:v>41</x:v>
      </x:c>
      <x:c r="B37" s="45" t="n">
        <x:f>'06_Positioning_Tone_QA'!J14</x:f>
        <x:v>4.42857142857143</x:v>
      </x:c>
    </x:row>
    <x:row r="38">
      <x:c r="A38" s="7" t="s">
        <x:v>42</x:v>
      </x:c>
      <x:c r="B38" s="45" t="n">
        <x:f>'06_Positioning_Tone_QA'!J15</x:f>
        <x:v>4.14285714285714</x:v>
      </x:c>
    </x:row>
    <x:row r="39">
      <x:c r="A39" s="7" t="s">
        <x:v>43</x:v>
      </x:c>
      <x:c r="B39" s="45" t="n">
        <x:f>'06_Positioning_Tone_QA'!J16</x:f>
        <x:v>3.71428571428571</x:v>
      </x:c>
    </x:row>
    <x:row r="40">
      <x:c r="A40" s="10" t="s">
        <x:v>44</x:v>
      </x:c>
      <x:c r="B40" s="46" t="n">
        <x:f>'06_Positioning_Tone_QA'!J17</x:f>
        <x:v>3.71428571428571</x:v>
      </x:c>
    </x:row>
    <x:row r="45">
      <x:c r="A45" s="4" t="s">
        <x:v>45</x:v>
      </x:c>
      <x:c r="B45" s="5"/>
      <x:c r="C45" s="5"/>
      <x:c r="D45" s="5"/>
      <x:c r="E45" s="5"/>
      <x:c r="F45" s="5"/>
      <x:c r="G45" s="5"/>
      <x:c r="H45" s="5"/>
      <x:c r="I45" s="5"/>
      <x:c r="J45" s="5"/>
      <x:c r="K45" s="5"/>
      <x:c r="L45" s="6"/>
    </x:row>
    <x:row r="46">
      <x:c r="A46" s="4" t="s">
        <x:v>46</x:v>
      </x:c>
      <x:c r="B46" s="5" t="s">
        <x:v>47</x:v>
      </x:c>
      <x:c r="C46" s="5"/>
      <x:c r="D46" s="5"/>
      <x:c r="E46" s="5"/>
      <x:c r="F46" s="5"/>
      <x:c r="G46" s="5" t="s">
        <x:v>48</x:v>
      </x:c>
      <x:c r="H46" s="5"/>
      <x:c r="I46" s="5"/>
      <x:c r="J46" s="5"/>
      <x:c r="K46" s="5"/>
      <x:c r="L46" s="6"/>
    </x:row>
    <x:row r="47">
      <x:c r="A47" s="7" t="s">
        <x:v>49</x:v>
      </x:c>
      <x:c r="B47" s="8" t="s">
        <x:v>50</x:v>
      </x:c>
      <x:c r="C47" s="8"/>
      <x:c r="D47" s="8"/>
      <x:c r="E47" s="8"/>
      <x:c r="F47" s="8"/>
      <x:c r="G47" s="8" t="s">
        <x:v>51</x:v>
      </x:c>
      <x:c r="H47" s="8"/>
      <x:c r="I47" s="8"/>
      <x:c r="J47" s="8"/>
      <x:c r="K47" s="8"/>
      <x:c r="L47" s="9"/>
    </x:row>
    <x:row r="48">
      <x:c r="A48" s="7" t="s">
        <x:v>52</x:v>
      </x:c>
      <x:c r="B48" s="8" t="s">
        <x:v>53</x:v>
      </x:c>
      <x:c r="C48" s="8"/>
      <x:c r="D48" s="8"/>
      <x:c r="E48" s="8"/>
      <x:c r="F48" s="8"/>
      <x:c r="G48" s="8" t="s">
        <x:v>54</x:v>
      </x:c>
      <x:c r="H48" s="8"/>
      <x:c r="I48" s="8"/>
      <x:c r="J48" s="8"/>
      <x:c r="K48" s="8"/>
      <x:c r="L48" s="9"/>
    </x:row>
    <x:row r="49">
      <x:c r="A49" s="7" t="s">
        <x:v>55</x:v>
      </x:c>
      <x:c r="B49" s="8" t="s">
        <x:v>56</x:v>
      </x:c>
      <x:c r="C49" s="8"/>
      <x:c r="D49" s="8"/>
      <x:c r="E49" s="8"/>
      <x:c r="F49" s="8"/>
      <x:c r="G49" s="8" t="s">
        <x:v>57</x:v>
      </x:c>
      <x:c r="H49" s="8"/>
      <x:c r="I49" s="8"/>
      <x:c r="J49" s="8"/>
      <x:c r="K49" s="8"/>
      <x:c r="L49" s="9"/>
    </x:row>
    <x:row r="50">
      <x:c r="A50" s="7" t="s">
        <x:v>58</x:v>
      </x:c>
      <x:c r="B50" s="8" t="s">
        <x:v>59</x:v>
      </x:c>
      <x:c r="C50" s="8"/>
      <x:c r="D50" s="8"/>
      <x:c r="E50" s="8"/>
      <x:c r="F50" s="8"/>
      <x:c r="G50" s="8" t="s">
        <x:v>60</x:v>
      </x:c>
      <x:c r="H50" s="8"/>
      <x:c r="I50" s="8"/>
      <x:c r="J50" s="8"/>
      <x:c r="K50" s="8"/>
      <x:c r="L50" s="9"/>
    </x:row>
    <x:row r="51">
      <x:c r="A51" s="7" t="s">
        <x:v>61</x:v>
      </x:c>
      <x:c r="B51" s="8" t="s">
        <x:v>62</x:v>
      </x:c>
      <x:c r="C51" s="8"/>
      <x:c r="D51" s="8"/>
      <x:c r="E51" s="8"/>
      <x:c r="F51" s="8"/>
      <x:c r="G51" s="8" t="s">
        <x:v>63</x:v>
      </x:c>
      <x:c r="H51" s="8"/>
      <x:c r="I51" s="8"/>
      <x:c r="J51" s="8"/>
      <x:c r="K51" s="8"/>
      <x:c r="L51" s="9"/>
    </x:row>
    <x:row r="52">
      <x:c r="A52" s="7" t="s">
        <x:v>64</x:v>
      </x:c>
      <x:c r="B52" s="8" t="s">
        <x:v>65</x:v>
      </x:c>
      <x:c r="C52" s="8"/>
      <x:c r="D52" s="8"/>
      <x:c r="E52" s="8"/>
      <x:c r="F52" s="8"/>
      <x:c r="G52" s="8" t="s">
        <x:v>66</x:v>
      </x:c>
      <x:c r="H52" s="8"/>
      <x:c r="I52" s="8"/>
      <x:c r="J52" s="8"/>
      <x:c r="K52" s="8"/>
      <x:c r="L52" s="9"/>
    </x:row>
    <x:row r="53">
      <x:c r="A53" s="7" t="s">
        <x:v>67</x:v>
      </x:c>
      <x:c r="B53" s="8" t="s">
        <x:v>68</x:v>
      </x:c>
      <x:c r="C53" s="8"/>
      <x:c r="D53" s="8"/>
      <x:c r="E53" s="8"/>
      <x:c r="F53" s="8"/>
      <x:c r="G53" s="8" t="s">
        <x:v>69</x:v>
      </x:c>
      <x:c r="H53" s="8"/>
      <x:c r="I53" s="8"/>
      <x:c r="J53" s="8"/>
      <x:c r="K53" s="8"/>
      <x:c r="L53" s="9"/>
    </x:row>
    <x:row r="54">
      <x:c r="A54" s="10" t="s">
        <x:v>70</x:v>
      </x:c>
      <x:c r="B54" s="11" t="s">
        <x:v>71</x:v>
      </x:c>
      <x:c r="C54" s="11"/>
      <x:c r="D54" s="11"/>
      <x:c r="E54" s="11"/>
      <x:c r="F54" s="11"/>
      <x:c r="G54" s="11" t="s">
        <x:v>72</x:v>
      </x:c>
      <x:c r="H54" s="11"/>
      <x:c r="I54" s="11"/>
      <x:c r="J54" s="11"/>
      <x:c r="K54" s="11"/>
      <x:c r="L54" s="12"/>
    </x:row>
    <x:row r="55" ht="31.5" customHeight="1">
      <x:c r="A55" s="83" t="str">
        <x:v>09_Page_Section_Mapping</x:v>
      </x:c>
      <x:c r="B55" s="82" t="str">
        <x:v>Page–section mapping</x:v>
      </x:c>
      <x:c r="C55" s="82"/>
      <x:c r="D55" s="82"/>
      <x:c r="E55" s="82"/>
      <x:c r="F55" s="82"/>
      <x:c r="G55" s="82" t="str">
        <x:v>Content IDs, implemented components, routes, variants, structure notes, wireframe decisions, review and approval status</x:v>
      </x:c>
      <x:c r="H55" s="82"/>
      <x:c r="I55" s="82"/>
      <x:c r="J55" s="82"/>
    </x:row>
    <x:row r="56" ht="31.5" customHeight="1">
      <x:c r="A56" s="89" t="str">
        <x:v>10_Asset_Register</x:v>
      </x:c>
      <x:c r="B56" s="88" t="str">
        <x:v>Asset governance</x:v>
      </x:c>
      <x:c r="C56" s="88"/>
      <x:c r="D56" s="88"/>
      <x:c r="E56" s="88"/>
      <x:c r="F56" s="88"/>
      <x:c r="G56" s="88" t="str">
        <x:v>18 codebase assets, dimensions, usage, dummy/placeholder classification, rights, launch decision and replacement status</x:v>
      </x:c>
      <x:c r="H56" s="88"/>
      <x:c r="I56" s="88"/>
      <x:c r="J56" s="88"/>
    </x:row>
    <x:row r="57" ht="31.5" customHeight="1">
      <x:c r="A57" s="83" t="str">
        <x:v>11_Reference_Register</x:v>
      </x:c>
      <x:c r="B57" s="82" t="str">
        <x:v>Source traceability</x:v>
      </x:c>
      <x:c r="C57" s="82"/>
      <x:c r="D57" s="82"/>
      <x:c r="E57" s="82"/>
      <x:c r="F57" s="82"/>
      <x:c r="G57" s="82" t="str">
        <x:v>Code, data, documentation, workbook, audit and confirmed project-decision references</x:v>
      </x:c>
      <x:c r="H57" s="82"/>
      <x:c r="I57" s="82"/>
      <x:c r="J57" s="82"/>
    </x:row>
    <x:row r="58" ht="31.5" customHeight="1">
      <x:c r="A58" s="89" t="str">
        <x:v>12_Mapping_QA</x:v>
      </x:c>
      <x:c r="B58" s="88" t="str">
        <x:v>Checkability control</x:v>
      </x:c>
      <x:c r="C58" s="88"/>
      <x:c r="D58" s="88"/>
      <x:c r="E58" s="88"/>
      <x:c r="F58" s="88"/>
      <x:c r="G58" s="88" t="str">
        <x:v>Page-level counts, structure QA, implementation gaps, blockers, UI/UX review, approval and final result</x:v>
      </x:c>
      <x:c r="H58" s="88"/>
      <x:c r="I58" s="88"/>
      <x:c r="J58" s="88"/>
    </x:row>
  </x:sheetData>
  <x:mergeCells>
    <x:mergeCell ref="A1:L1"/>
    <x:mergeCell ref="A2:L2"/>
    <x:mergeCell ref="A4:C4"/>
    <x:mergeCell ref="D4:F4"/>
    <x:mergeCell ref="G4:I4"/>
    <x:mergeCell ref="J4:L4"/>
    <x:mergeCell ref="A8:C8"/>
    <x:mergeCell ref="D8:F8"/>
    <x:mergeCell ref="G8:I8"/>
    <x:mergeCell ref="J8:L8"/>
    <x:mergeCell ref="A10:F10"/>
    <x:mergeCell ref="G10:L10"/>
    <x:mergeCell ref="A19:F19"/>
    <x:mergeCell ref="A45:L45"/>
    <x:mergeCell ref="B46:F46"/>
    <x:mergeCell ref="G46:L46"/>
    <x:mergeCell ref="B47:F47"/>
    <x:mergeCell ref="G47:L47"/>
    <x:mergeCell ref="B48:F48"/>
    <x:mergeCell ref="G48:L48"/>
    <x:mergeCell ref="B49:F49"/>
    <x:mergeCell ref="G49:L49"/>
    <x:mergeCell ref="B50:F50"/>
    <x:mergeCell ref="G50:L50"/>
    <x:mergeCell ref="B51:F51"/>
    <x:mergeCell ref="G51:L51"/>
    <x:mergeCell ref="B52:F52"/>
    <x:mergeCell ref="G52:L52"/>
    <x:mergeCell ref="B53:F53"/>
    <x:mergeCell ref="G53:L53"/>
    <x:mergeCell ref="B54:F54"/>
    <x:mergeCell ref="G54:L54"/>
    <x:mergeCell ref="A5:C7"/>
    <x:mergeCell ref="D5:F7"/>
    <x:mergeCell ref="G5:I7"/>
    <x:mergeCell ref="J5:L7"/>
    <x:mergeCell ref="A11:F17"/>
    <x:mergeCell ref="G11:L17"/>
    <x:mergeCell ref="B55:F55"/>
    <x:mergeCell ref="G55:J55"/>
    <x:mergeCell ref="B56:F56"/>
    <x:mergeCell ref="G56:J56"/>
    <x:mergeCell ref="B57:F57"/>
    <x:mergeCell ref="G57:J57"/>
    <x:mergeCell ref="B58:F58"/>
    <x:mergeCell ref="G58:J58"/>
  </x:mergeCells>
  <x:conditionalFormatting sqref="B28:B40">
    <x:cfRule type="dataBar" priority="1">
      <x:dataBar minLength="10" maxLength="90">
        <x:cfvo type="min"/>
        <x:cfvo type="max"/>
        <x:color rgb="FFC4142A"/>
      </x:dataBar>
      <x:extLst>
        <x:ext xmlns:x14="http://schemas.microsoft.com/office/spreadsheetml/2009/9/main" uri="{B025F937-C7B1-47D3-B67F-A62EFF666E3E}">
          <x14:id>{cba144ab-86d9-4ed9-a5e2-629bf78eec59}</x14:id>
        </x:ext>
      </x:extLst>
    </x:cfRule>
  </x:conditionalFormatting>
  <x:pageMargins left="0.7" right="0.7" top="0.75" bottom="0.75" header="0.3" footer="0.3"/>
  <x:drawing xmlns:r="http://schemas.openxmlformats.org/officeDocument/2006/relationships" r:id="Rfdfd9ab10d61492d"/>
  <x:extLst>
    <x:ext xmlns:x14="http://schemas.microsoft.com/office/spreadsheetml/2009/9/main" xmlns:xm="http://schemas.microsoft.com/office/excel/2006/main" uri="{78C0D931-6437-407d-A8EE-F0AAD7539E65}">
      <x14:conditionalFormattings>
        <x14:conditionalFormatting>
          <x14:cfRule type="dataBar" priority="1" id="{cba144ab-86d9-4ed9-a5e2-629bf78eec59}">
            <x14:dataBar minLength="10" maxLength="90" negativeBarColorSameAsPositive="1">
              <x14:cfvo type="min"/>
              <x14:cfvo type="max"/>
              <x14:fillColor rgb="FFC4142A"/>
              <x14:axisColor indexed="65"/>
            </x14:dataBar>
          </x14:cfRule>
          <xm:sqref>B28:B40</xm:sqref>
        </x14:conditionalFormatting>
      </x14:conditionalFormattings>
    </x:ext>
  </x:extLst>
</x:worksheet>
</file>

<file path=xl/worksheets/sheet2.xml><?xml version="1.0" encoding="utf-8"?>
<x:worksheet xmlns:x="http://schemas.openxmlformats.org/spreadsheetml/2006/main">
  <x:sheetFormatPr defaultColWidth="9" defaultRowHeight="14"/>
  <x:cols>
    <x:col min="1" max="1" width="10" customWidth="1"/>
    <x:col min="2" max="2" width="14" customWidth="1"/>
    <x:col min="3" max="3" width="22" customWidth="1"/>
    <x:col min="4" max="5" width="46" customWidth="1"/>
    <x:col min="6" max="7" width="24" customWidth="1"/>
    <x:col min="8" max="8" width="25" customWidth="1"/>
    <x:col min="9" max="9" width="40" customWidth="1"/>
    <x:col min="10" max="10" width="28" customWidth="1"/>
  </x:cols>
  <x:sheetData>
    <x:row r="1" ht="36" customHeight="1">
      <x:c r="A1" s="1" t="s">
        <x:v>73</x:v>
      </x:c>
      <x:c r="B1" s="1"/>
      <x:c r="C1" s="1"/>
      <x:c r="D1" s="1"/>
      <x:c r="E1" s="1"/>
      <x:c r="F1" s="1"/>
      <x:c r="G1" s="1"/>
      <x:c r="H1" s="1"/>
      <x:c r="I1" s="1"/>
      <x:c r="J1" s="1"/>
    </x:row>
    <x:row r="2" ht="32" customHeight="1">
      <x:c r="A2" s="2" t="s">
        <x:v>74</x:v>
      </x:c>
      <x:c r="B2" s="2"/>
      <x:c r="C2" s="2"/>
      <x:c r="D2" s="2"/>
      <x:c r="E2" s="2"/>
      <x:c r="F2" s="2"/>
      <x:c r="G2" s="2"/>
      <x:c r="H2" s="2"/>
      <x:c r="I2" s="2"/>
      <x:c r="J2" s="2"/>
    </x:row>
    <x:row r="3" ht="28" customHeight="1">
      <x:c r="A3" s="3" t="s">
        <x:v>75</x:v>
      </x:c>
      <x:c r="B3" s="3"/>
      <x:c r="C3" s="3"/>
      <x:c r="D3" s="3"/>
      <x:c r="E3" s="3"/>
      <x:c r="F3" s="3"/>
      <x:c r="G3" s="3"/>
      <x:c r="H3" s="3"/>
      <x:c r="I3" s="3"/>
      <x:c r="J3" s="3"/>
    </x:row>
    <x:row r="4" ht="34" customHeight="1">
      <x:c r="A4" s="4" t="s">
        <x:v>76</x:v>
      </x:c>
      <x:c r="B4" s="5" t="s">
        <x:v>77</x:v>
      </x:c>
      <x:c r="C4" s="5" t="s">
        <x:v>78</x:v>
      </x:c>
      <x:c r="D4" s="5" t="s">
        <x:v>79</x:v>
      </x:c>
      <x:c r="E4" s="5" t="s">
        <x:v>80</x:v>
      </x:c>
      <x:c r="F4" s="5" t="s">
        <x:v>81</x:v>
      </x:c>
      <x:c r="G4" s="5" t="s">
        <x:v>82</x:v>
      </x:c>
      <x:c r="H4" s="5" t="s">
        <x:v>83</x:v>
      </x:c>
      <x:c r="I4" s="5" t="s">
        <x:v>84</x:v>
      </x:c>
      <x:c r="J4" s="6" t="s">
        <x:v>85</x:v>
      </x:c>
    </x:row>
    <x:row r="5" ht="64" customHeight="1">
      <x:c r="A5" s="13" t="s">
        <x:v>86</x:v>
      </x:c>
      <x:c r="B5" s="14" t="s">
        <x:v>87</x:v>
      </x:c>
      <x:c r="C5" s="8" t="s">
        <x:v>88</x:v>
      </x:c>
      <x:c r="D5" s="8" t="s">
        <x:v>89</x:v>
      </x:c>
      <x:c r="E5" s="8" t="s">
        <x:v>89</x:v>
      </x:c>
      <x:c r="F5" s="8" t="s">
        <x:v>90</x:v>
      </x:c>
      <x:c r="G5" s="8" t="s">
        <x:v>91</x:v>
      </x:c>
      <x:c r="H5" s="14" t="s">
        <x:v>92</x:v>
      </x:c>
      <x:c r="I5" s="8" t="s">
        <x:v>91</x:v>
      </x:c>
      <x:c r="J5" s="9" t="s">
        <x:v>93</x:v>
      </x:c>
    </x:row>
    <x:row r="6" ht="64" customHeight="1">
      <x:c r="A6" s="13" t="s">
        <x:v>94</x:v>
      </x:c>
      <x:c r="B6" s="14" t="s">
        <x:v>87</x:v>
      </x:c>
      <x:c r="C6" s="8" t="s">
        <x:v>95</x:v>
      </x:c>
      <x:c r="D6" s="8" t="s">
        <x:v>96</x:v>
      </x:c>
      <x:c r="E6" s="8" t="s">
        <x:v>96</x:v>
      </x:c>
      <x:c r="F6" s="8" t="s">
        <x:v>97</x:v>
      </x:c>
      <x:c r="G6" s="8" t="s">
        <x:v>91</x:v>
      </x:c>
      <x:c r="H6" s="14" t="s">
        <x:v>92</x:v>
      </x:c>
      <x:c r="I6" s="8" t="s">
        <x:v>91</x:v>
      </x:c>
      <x:c r="J6" s="9" t="s">
        <x:v>93</x:v>
      </x:c>
    </x:row>
    <x:row r="7" ht="64" customHeight="1">
      <x:c r="A7" s="13" t="s">
        <x:v>98</x:v>
      </x:c>
      <x:c r="B7" s="14" t="s">
        <x:v>99</x:v>
      </x:c>
      <x:c r="C7" s="8" t="s">
        <x:v>33</x:v>
      </x:c>
      <x:c r="D7" s="8" t="s">
        <x:v>33</x:v>
      </x:c>
      <x:c r="E7" s="8" t="s">
        <x:v>33</x:v>
      </x:c>
      <x:c r="F7" s="8" t="s">
        <x:v>100</x:v>
      </x:c>
      <x:c r="G7" s="8" t="s">
        <x:v>101</x:v>
      </x:c>
      <x:c r="H7" s="14" t="s">
        <x:v>102</x:v>
      </x:c>
      <x:c r="I7" s="8" t="s">
        <x:v>91</x:v>
      </x:c>
      <x:c r="J7" s="9" t="s">
        <x:v>103</x:v>
      </x:c>
    </x:row>
    <x:row r="8" ht="64" customHeight="1">
      <x:c r="A8" s="13" t="s">
        <x:v>104</x:v>
      </x:c>
      <x:c r="B8" s="14" t="s">
        <x:v>99</x:v>
      </x:c>
      <x:c r="C8" s="8" t="s">
        <x:v>34</x:v>
      </x:c>
      <x:c r="D8" s="8" t="s">
        <x:v>34</x:v>
      </x:c>
      <x:c r="E8" s="8" t="s">
        <x:v>34</x:v>
      </x:c>
      <x:c r="F8" s="8" t="s">
        <x:v>100</x:v>
      </x:c>
      <x:c r="G8" s="8" t="s">
        <x:v>105</x:v>
      </x:c>
      <x:c r="H8" s="14" t="s">
        <x:v>102</x:v>
      </x:c>
      <x:c r="I8" s="8" t="s">
        <x:v>91</x:v>
      </x:c>
      <x:c r="J8" s="9" t="s">
        <x:v>103</x:v>
      </x:c>
    </x:row>
    <x:row r="9" ht="64" customHeight="1">
      <x:c r="A9" s="13" t="s">
        <x:v>106</x:v>
      </x:c>
      <x:c r="B9" s="14" t="s">
        <x:v>99</x:v>
      </x:c>
      <x:c r="C9" s="8" t="s">
        <x:v>36</x:v>
      </x:c>
      <x:c r="D9" s="8" t="s">
        <x:v>36</x:v>
      </x:c>
      <x:c r="E9" s="8" t="s">
        <x:v>36</x:v>
      </x:c>
      <x:c r="F9" s="8" t="s">
        <x:v>100</x:v>
      </x:c>
      <x:c r="G9" s="8" t="s">
        <x:v>107</x:v>
      </x:c>
      <x:c r="H9" s="14" t="s">
        <x:v>102</x:v>
      </x:c>
      <x:c r="I9" s="8" t="s">
        <x:v>91</x:v>
      </x:c>
      <x:c r="J9" s="9" t="s">
        <x:v>103</x:v>
      </x:c>
    </x:row>
    <x:row r="10" ht="64" customHeight="1">
      <x:c r="A10" s="13" t="s">
        <x:v>108</x:v>
      </x:c>
      <x:c r="B10" s="14" t="s">
        <x:v>99</x:v>
      </x:c>
      <x:c r="C10" s="8" t="s">
        <x:v>37</x:v>
      </x:c>
      <x:c r="D10" s="8" t="s">
        <x:v>37</x:v>
      </x:c>
      <x:c r="E10" s="8" t="s">
        <x:v>37</x:v>
      </x:c>
      <x:c r="F10" s="8" t="s">
        <x:v>100</x:v>
      </x:c>
      <x:c r="G10" s="8" t="s">
        <x:v>109</x:v>
      </x:c>
      <x:c r="H10" s="14" t="s">
        <x:v>110</x:v>
      </x:c>
      <x:c r="I10" s="8" t="s">
        <x:v>111</x:v>
      </x:c>
      <x:c r="J10" s="9" t="s">
        <x:v>103</x:v>
      </x:c>
    </x:row>
    <x:row r="11" ht="64" customHeight="1">
      <x:c r="A11" s="13" t="s">
        <x:v>112</x:v>
      </x:c>
      <x:c r="B11" s="14" t="s">
        <x:v>99</x:v>
      </x:c>
      <x:c r="C11" s="8" t="s">
        <x:v>38</x:v>
      </x:c>
      <x:c r="D11" s="8" t="s">
        <x:v>113</x:v>
      </x:c>
      <x:c r="E11" s="8" t="s">
        <x:v>113</x:v>
      </x:c>
      <x:c r="F11" s="8" t="s">
        <x:v>100</x:v>
      </x:c>
      <x:c r="G11" s="8" t="s">
        <x:v>114</x:v>
      </x:c>
      <x:c r="H11" s="14" t="s">
        <x:v>115</x:v>
      </x:c>
      <x:c r="I11" s="8" t="s">
        <x:v>116</x:v>
      </x:c>
      <x:c r="J11" s="9" t="s">
        <x:v>103</x:v>
      </x:c>
    </x:row>
    <x:row r="12" ht="64" customHeight="1">
      <x:c r="A12" s="13" t="s">
        <x:v>117</x:v>
      </x:c>
      <x:c r="B12" s="14" t="s">
        <x:v>99</x:v>
      </x:c>
      <x:c r="C12" s="8" t="s">
        <x:v>40</x:v>
      </x:c>
      <x:c r="D12" s="8" t="s">
        <x:v>118</x:v>
      </x:c>
      <x:c r="E12" s="8" t="s">
        <x:v>40</x:v>
      </x:c>
      <x:c r="F12" s="8" t="s">
        <x:v>100</x:v>
      </x:c>
      <x:c r="G12" s="8" t="s">
        <x:v>119</x:v>
      </x:c>
      <x:c r="H12" s="14" t="s">
        <x:v>102</x:v>
      </x:c>
      <x:c r="I12" s="8" t="s">
        <x:v>91</x:v>
      </x:c>
      <x:c r="J12" s="9" t="s">
        <x:v>103</x:v>
      </x:c>
    </x:row>
    <x:row r="13" ht="64" customHeight="1">
      <x:c r="A13" s="13" t="s">
        <x:v>120</x:v>
      </x:c>
      <x:c r="B13" s="14" t="s">
        <x:v>121</x:v>
      </x:c>
      <x:c r="C13" s="8" t="s">
        <x:v>122</x:v>
      </x:c>
      <x:c r="D13" s="8" t="s">
        <x:v>123</x:v>
      </x:c>
      <x:c r="E13" s="8" t="s">
        <x:v>124</x:v>
      </x:c>
      <x:c r="F13" s="8" t="s">
        <x:v>125</x:v>
      </x:c>
      <x:c r="G13" s="8" t="s">
        <x:v>119</x:v>
      </x:c>
      <x:c r="H13" s="14" t="s">
        <x:v>126</x:v>
      </x:c>
      <x:c r="I13" s="8" t="s">
        <x:v>127</x:v>
      </x:c>
      <x:c r="J13" s="9" t="s">
        <x:v>128</x:v>
      </x:c>
    </x:row>
    <x:row r="14" ht="64" customHeight="1">
      <x:c r="A14" s="13" t="s">
        <x:v>129</x:v>
      </x:c>
      <x:c r="B14" s="14" t="s">
        <x:v>121</x:v>
      </x:c>
      <x:c r="C14" s="8" t="s">
        <x:v>130</x:v>
      </x:c>
      <x:c r="D14" s="8" t="s">
        <x:v>131</x:v>
      </x:c>
      <x:c r="E14" s="8" t="s">
        <x:v>132</x:v>
      </x:c>
      <x:c r="F14" s="8" t="s">
        <x:v>133</x:v>
      </x:c>
      <x:c r="G14" s="8" t="s">
        <x:v>107</x:v>
      </x:c>
      <x:c r="H14" s="14" t="s">
        <x:v>102</x:v>
      </x:c>
      <x:c r="I14" s="8" t="s">
        <x:v>91</x:v>
      </x:c>
      <x:c r="J14" s="9" t="s">
        <x:v>134</x:v>
      </x:c>
    </x:row>
    <x:row r="15" ht="64" customHeight="1">
      <x:c r="A15" s="13" t="s">
        <x:v>135</x:v>
      </x:c>
      <x:c r="B15" s="14" t="s">
        <x:v>121</x:v>
      </x:c>
      <x:c r="C15" s="8" t="s">
        <x:v>136</x:v>
      </x:c>
      <x:c r="D15" s="8" t="s">
        <x:v>137</x:v>
      </x:c>
      <x:c r="E15" s="8" t="s">
        <x:v>138</x:v>
      </x:c>
      <x:c r="F15" s="8" t="s">
        <x:v>139</x:v>
      </x:c>
      <x:c r="G15" s="8" t="s">
        <x:v>140</x:v>
      </x:c>
      <x:c r="H15" s="14" t="s">
        <x:v>102</x:v>
      </x:c>
      <x:c r="I15" s="8" t="s">
        <x:v>91</x:v>
      </x:c>
      <x:c r="J15" s="9" t="s">
        <x:v>141</x:v>
      </x:c>
    </x:row>
    <x:row r="16" ht="64" customHeight="1">
      <x:c r="A16" s="13" t="s">
        <x:v>142</x:v>
      </x:c>
      <x:c r="B16" s="14" t="s">
        <x:v>121</x:v>
      </x:c>
      <x:c r="C16" s="8" t="s">
        <x:v>143</x:v>
      </x:c>
      <x:c r="D16" s="8" t="s">
        <x:v>144</x:v>
      </x:c>
      <x:c r="E16" s="8" t="s">
        <x:v>145</x:v>
      </x:c>
      <x:c r="F16" s="8" t="s">
        <x:v>146</x:v>
      </x:c>
      <x:c r="G16" s="8" t="s">
        <x:v>147</x:v>
      </x:c>
      <x:c r="H16" s="14" t="s">
        <x:v>148</x:v>
      </x:c>
      <x:c r="I16" s="8" t="s">
        <x:v>149</x:v>
      </x:c>
      <x:c r="J16" s="9" t="s">
        <x:v>134</x:v>
      </x:c>
    </x:row>
    <x:row r="17" ht="64" customHeight="1">
      <x:c r="A17" s="13" t="s">
        <x:v>150</x:v>
      </x:c>
      <x:c r="B17" s="14" t="s">
        <x:v>121</x:v>
      </x:c>
      <x:c r="C17" s="8" t="s">
        <x:v>151</x:v>
      </x:c>
      <x:c r="D17" s="8" t="s">
        <x:v>152</x:v>
      </x:c>
      <x:c r="E17" s="8" t="s">
        <x:v>153</x:v>
      </x:c>
      <x:c r="F17" s="8" t="s">
        <x:v>154</x:v>
      </x:c>
      <x:c r="G17" s="8" t="s">
        <x:v>155</x:v>
      </x:c>
      <x:c r="H17" s="14" t="s">
        <x:v>102</x:v>
      </x:c>
      <x:c r="I17" s="8" t="s">
        <x:v>91</x:v>
      </x:c>
      <x:c r="J17" s="9" t="s">
        <x:v>156</x:v>
      </x:c>
    </x:row>
    <x:row r="18" ht="64" customHeight="1">
      <x:c r="A18" s="13" t="s">
        <x:v>157</x:v>
      </x:c>
      <x:c r="B18" s="14" t="s">
        <x:v>158</x:v>
      </x:c>
      <x:c r="C18" s="8" t="s">
        <x:v>159</x:v>
      </x:c>
      <x:c r="D18" s="8" t="s">
        <x:v>160</x:v>
      </x:c>
      <x:c r="E18" s="8" t="s">
        <x:v>161</x:v>
      </x:c>
      <x:c r="F18" s="8" t="s">
        <x:v>158</x:v>
      </x:c>
      <x:c r="G18" s="8" t="s">
        <x:v>91</x:v>
      </x:c>
      <x:c r="H18" s="14" t="s">
        <x:v>102</x:v>
      </x:c>
      <x:c r="I18" s="8" t="s">
        <x:v>91</x:v>
      </x:c>
      <x:c r="J18" s="9" t="s">
        <x:v>162</x:v>
      </x:c>
    </x:row>
    <x:row r="19" ht="64" customHeight="1">
      <x:c r="A19" s="13" t="s">
        <x:v>163</x:v>
      </x:c>
      <x:c r="B19" s="14" t="s">
        <x:v>158</x:v>
      </x:c>
      <x:c r="C19" s="8" t="s">
        <x:v>164</x:v>
      </x:c>
      <x:c r="D19" s="8" t="s">
        <x:v>165</x:v>
      </x:c>
      <x:c r="E19" s="8" t="s">
        <x:v>166</x:v>
      </x:c>
      <x:c r="F19" s="8" t="s">
        <x:v>167</x:v>
      </x:c>
      <x:c r="G19" s="8" t="s">
        <x:v>91</x:v>
      </x:c>
      <x:c r="H19" s="14" t="s">
        <x:v>92</x:v>
      </x:c>
      <x:c r="I19" s="8" t="s">
        <x:v>168</x:v>
      </x:c>
      <x:c r="J19" s="9" t="s">
        <x:v>169</x:v>
      </x:c>
    </x:row>
    <x:row r="20" ht="64" customHeight="1">
      <x:c r="A20" s="13" t="s">
        <x:v>170</x:v>
      </x:c>
      <x:c r="B20" s="14" t="s">
        <x:v>158</x:v>
      </x:c>
      <x:c r="C20" s="8" t="s">
        <x:v>171</x:v>
      </x:c>
      <x:c r="D20" s="8" t="s">
        <x:v>172</x:v>
      </x:c>
      <x:c r="E20" s="8" t="s">
        <x:v>173</x:v>
      </x:c>
      <x:c r="F20" s="8" t="s">
        <x:v>158</x:v>
      </x:c>
      <x:c r="G20" s="8" t="s">
        <x:v>91</x:v>
      </x:c>
      <x:c r="H20" s="14" t="s">
        <x:v>174</x:v>
      </x:c>
      <x:c r="I20" s="8" t="s">
        <x:v>175</x:v>
      </x:c>
      <x:c r="J20" s="9" t="s">
        <x:v>176</x:v>
      </x:c>
    </x:row>
    <x:row r="21" ht="64" customHeight="1">
      <x:c r="A21" s="13" t="s">
        <x:v>177</x:v>
      </x:c>
      <x:c r="B21" s="14" t="s">
        <x:v>178</x:v>
      </x:c>
      <x:c r="C21" s="8" t="s">
        <x:v>179</x:v>
      </x:c>
      <x:c r="D21" s="8" t="s">
        <x:v>180</x:v>
      </x:c>
      <x:c r="E21" s="8" t="s">
        <x:v>181</x:v>
      </x:c>
      <x:c r="F21" s="8" t="s">
        <x:v>182</x:v>
      </x:c>
      <x:c r="G21" s="8" t="s">
        <x:v>91</x:v>
      </x:c>
      <x:c r="H21" s="14" t="s">
        <x:v>183</x:v>
      </x:c>
      <x:c r="I21" s="8" t="s">
        <x:v>184</x:v>
      </x:c>
      <x:c r="J21" s="9" t="s">
        <x:v>185</x:v>
      </x:c>
    </x:row>
    <x:row r="22" ht="64" customHeight="1">
      <x:c r="A22" s="13" t="s">
        <x:v>186</x:v>
      </x:c>
      <x:c r="B22" s="14" t="s">
        <x:v>187</x:v>
      </x:c>
      <x:c r="C22" s="8" t="s">
        <x:v>188</x:v>
      </x:c>
      <x:c r="D22" s="8" t="s">
        <x:v>189</x:v>
      </x:c>
      <x:c r="E22" s="8" t="s">
        <x:v>189</x:v>
      </x:c>
      <x:c r="F22" s="8" t="s">
        <x:v>190</x:v>
      </x:c>
      <x:c r="G22" s="8" t="s">
        <x:v>191</x:v>
      </x:c>
      <x:c r="H22" s="14" t="s">
        <x:v>102</x:v>
      </x:c>
      <x:c r="I22" s="8" t="s">
        <x:v>91</x:v>
      </x:c>
      <x:c r="J22" s="9" t="s">
        <x:v>192</x:v>
      </x:c>
    </x:row>
    <x:row r="23" ht="64" customHeight="1">
      <x:c r="A23" s="13" t="s">
        <x:v>193</x:v>
      </x:c>
      <x:c r="B23" s="14" t="s">
        <x:v>40</x:v>
      </x:c>
      <x:c r="C23" s="8" t="s">
        <x:v>194</x:v>
      </x:c>
      <x:c r="D23" s="8" t="s">
        <x:v>195</x:v>
      </x:c>
      <x:c r="E23" s="8" t="s">
        <x:v>196</x:v>
      </x:c>
      <x:c r="F23" s="8" t="s">
        <x:v>197</x:v>
      </x:c>
      <x:c r="G23" s="8" t="s">
        <x:v>198</x:v>
      </x:c>
      <x:c r="H23" s="14" t="s">
        <x:v>199</x:v>
      </x:c>
      <x:c r="I23" s="8" t="s">
        <x:v>200</x:v>
      </x:c>
      <x:c r="J23" s="9" t="s">
        <x:v>201</x:v>
      </x:c>
    </x:row>
    <x:row r="24" ht="64" customHeight="1">
      <x:c r="A24" s="13" t="s">
        <x:v>202</x:v>
      </x:c>
      <x:c r="B24" s="14" t="s">
        <x:v>40</x:v>
      </x:c>
      <x:c r="C24" s="8" t="s">
        <x:v>203</x:v>
      </x:c>
      <x:c r="D24" s="8" t="s">
        <x:v>204</x:v>
      </x:c>
      <x:c r="E24" s="8" t="s">
        <x:v>205</x:v>
      </x:c>
      <x:c r="F24" s="8" t="s">
        <x:v>206</x:v>
      </x:c>
      <x:c r="G24" s="8" t="s">
        <x:v>207</x:v>
      </x:c>
      <x:c r="H24" s="14" t="s">
        <x:v>199</x:v>
      </x:c>
      <x:c r="I24" s="8" t="s">
        <x:v>208</x:v>
      </x:c>
      <x:c r="J24" s="9" t="s">
        <x:v>201</x:v>
      </x:c>
    </x:row>
    <x:row r="25" ht="64" customHeight="1">
      <x:c r="A25" s="13" t="s">
        <x:v>209</x:v>
      </x:c>
      <x:c r="B25" s="14" t="s">
        <x:v>40</x:v>
      </x:c>
      <x:c r="C25" s="8" t="s">
        <x:v>210</x:v>
      </x:c>
      <x:c r="D25" s="8" t="s">
        <x:v>211</x:v>
      </x:c>
      <x:c r="E25" s="8" t="s">
        <x:v>212</x:v>
      </x:c>
      <x:c r="F25" s="8" t="s">
        <x:v>206</x:v>
      </x:c>
      <x:c r="G25" s="8" t="s">
        <x:v>213</x:v>
      </x:c>
      <x:c r="H25" s="14" t="s">
        <x:v>214</x:v>
      </x:c>
      <x:c r="I25" s="8" t="s">
        <x:v>215</x:v>
      </x:c>
      <x:c r="J25" s="9" t="s">
        <x:v>216</x:v>
      </x:c>
    </x:row>
    <x:row r="26" ht="64" customHeight="1">
      <x:c r="A26" s="13" t="s">
        <x:v>217</x:v>
      </x:c>
      <x:c r="B26" s="14" t="s">
        <x:v>218</x:v>
      </x:c>
      <x:c r="C26" s="8" t="s">
        <x:v>219</x:v>
      </x:c>
      <x:c r="D26" s="8" t="s">
        <x:v>220</x:v>
      </x:c>
      <x:c r="E26" s="8" t="s">
        <x:v>221</x:v>
      </x:c>
      <x:c r="F26" s="8" t="s">
        <x:v>139</x:v>
      </x:c>
      <x:c r="G26" s="8" t="s">
        <x:v>91</x:v>
      </x:c>
      <x:c r="H26" s="14" t="s">
        <x:v>102</x:v>
      </x:c>
      <x:c r="I26" s="8" t="s">
        <x:v>91</x:v>
      </x:c>
      <x:c r="J26" s="9" t="s">
        <x:v>222</x:v>
      </x:c>
    </x:row>
    <x:row r="27" ht="64" customHeight="1">
      <x:c r="A27" s="13" t="s">
        <x:v>223</x:v>
      </x:c>
      <x:c r="B27" s="14" t="s">
        <x:v>218</x:v>
      </x:c>
      <x:c r="C27" s="8" t="s">
        <x:v>224</x:v>
      </x:c>
      <x:c r="D27" s="8" t="s">
        <x:v>225</x:v>
      </x:c>
      <x:c r="E27" s="8" t="s">
        <x:v>226</x:v>
      </x:c>
      <x:c r="F27" s="8" t="s">
        <x:v>139</x:v>
      </x:c>
      <x:c r="G27" s="8" t="s">
        <x:v>91</x:v>
      </x:c>
      <x:c r="H27" s="14" t="s">
        <x:v>102</x:v>
      </x:c>
      <x:c r="I27" s="8" t="s">
        <x:v>91</x:v>
      </x:c>
      <x:c r="J27" s="9" t="s">
        <x:v>222</x:v>
      </x:c>
    </x:row>
    <x:row r="28" ht="64" customHeight="1">
      <x:c r="A28" s="13" t="s">
        <x:v>227</x:v>
      </x:c>
      <x:c r="B28" s="14" t="s">
        <x:v>218</x:v>
      </x:c>
      <x:c r="C28" s="8" t="s">
        <x:v>228</x:v>
      </x:c>
      <x:c r="D28" s="8" t="s">
        <x:v>229</x:v>
      </x:c>
      <x:c r="E28" s="8" t="s">
        <x:v>229</x:v>
      </x:c>
      <x:c r="F28" s="8" t="s">
        <x:v>139</x:v>
      </x:c>
      <x:c r="G28" s="8" t="s">
        <x:v>91</x:v>
      </x:c>
      <x:c r="H28" s="14" t="s">
        <x:v>102</x:v>
      </x:c>
      <x:c r="I28" s="8" t="s">
        <x:v>91</x:v>
      </x:c>
      <x:c r="J28" s="9" t="s">
        <x:v>222</x:v>
      </x:c>
    </x:row>
    <x:row r="29" ht="64" customHeight="1">
      <x:c r="A29" s="13" t="s">
        <x:v>230</x:v>
      </x:c>
      <x:c r="B29" s="14" t="s">
        <x:v>218</x:v>
      </x:c>
      <x:c r="C29" s="8" t="s">
        <x:v>231</x:v>
      </x:c>
      <x:c r="D29" s="8" t="s">
        <x:v>232</x:v>
      </x:c>
      <x:c r="E29" s="8" t="s">
        <x:v>233</x:v>
      </x:c>
      <x:c r="F29" s="8" t="s">
        <x:v>139</x:v>
      </x:c>
      <x:c r="G29" s="8" t="s">
        <x:v>91</x:v>
      </x:c>
      <x:c r="H29" s="14" t="s">
        <x:v>102</x:v>
      </x:c>
      <x:c r="I29" s="8" t="s">
        <x:v>91</x:v>
      </x:c>
      <x:c r="J29" s="9" t="s">
        <x:v>222</x:v>
      </x:c>
    </x:row>
    <x:row r="30" ht="64" customHeight="1">
      <x:c r="A30" s="13" t="s">
        <x:v>234</x:v>
      </x:c>
      <x:c r="B30" s="14" t="s">
        <x:v>218</x:v>
      </x:c>
      <x:c r="C30" s="8" t="s">
        <x:v>235</x:v>
      </x:c>
      <x:c r="D30" s="8" t="s">
        <x:v>236</x:v>
      </x:c>
      <x:c r="E30" s="8" t="s">
        <x:v>237</x:v>
      </x:c>
      <x:c r="F30" s="8" t="s">
        <x:v>139</x:v>
      </x:c>
      <x:c r="G30" s="8" t="s">
        <x:v>91</x:v>
      </x:c>
      <x:c r="H30" s="14" t="s">
        <x:v>102</x:v>
      </x:c>
      <x:c r="I30" s="8" t="s">
        <x:v>91</x:v>
      </x:c>
      <x:c r="J30" s="9" t="s">
        <x:v>222</x:v>
      </x:c>
    </x:row>
    <x:row r="31" ht="64" customHeight="1">
      <x:c r="A31" s="13" t="s">
        <x:v>238</x:v>
      </x:c>
      <x:c r="B31" s="14" t="s">
        <x:v>218</x:v>
      </x:c>
      <x:c r="C31" s="8" t="s">
        <x:v>239</x:v>
      </x:c>
      <x:c r="D31" s="8" t="s">
        <x:v>240</x:v>
      </x:c>
      <x:c r="E31" s="8" t="s">
        <x:v>241</x:v>
      </x:c>
      <x:c r="F31" s="8" t="s">
        <x:v>139</x:v>
      </x:c>
      <x:c r="G31" s="8" t="s">
        <x:v>91</x:v>
      </x:c>
      <x:c r="H31" s="14" t="s">
        <x:v>102</x:v>
      </x:c>
      <x:c r="I31" s="8" t="s">
        <x:v>91</x:v>
      </x:c>
      <x:c r="J31" s="9" t="s">
        <x:v>242</x:v>
      </x:c>
    </x:row>
    <x:row r="32" ht="64" customHeight="1">
      <x:c r="A32" s="13" t="s">
        <x:v>243</x:v>
      </x:c>
      <x:c r="B32" s="14" t="s">
        <x:v>218</x:v>
      </x:c>
      <x:c r="C32" s="8" t="s">
        <x:v>244</x:v>
      </x:c>
      <x:c r="D32" s="8" t="s">
        <x:v>245</x:v>
      </x:c>
      <x:c r="E32" s="8" t="s">
        <x:v>246</x:v>
      </x:c>
      <x:c r="F32" s="8" t="s">
        <x:v>247</x:v>
      </x:c>
      <x:c r="G32" s="8" t="s">
        <x:v>91</x:v>
      </x:c>
      <x:c r="H32" s="14" t="s">
        <x:v>102</x:v>
      </x:c>
      <x:c r="I32" s="8" t="s">
        <x:v>91</x:v>
      </x:c>
      <x:c r="J32" s="9" t="s">
        <x:v>248</x:v>
      </x:c>
    </x:row>
    <x:row r="33" ht="64" customHeight="1">
      <x:c r="A33" s="13" t="s">
        <x:v>249</x:v>
      </x:c>
      <x:c r="B33" s="14" t="s">
        <x:v>218</x:v>
      </x:c>
      <x:c r="C33" s="8" t="s">
        <x:v>250</x:v>
      </x:c>
      <x:c r="D33" s="8" t="s">
        <x:v>251</x:v>
      </x:c>
      <x:c r="E33" s="8" t="s">
        <x:v>252</x:v>
      </x:c>
      <x:c r="F33" s="8" t="s">
        <x:v>139</x:v>
      </x:c>
      <x:c r="G33" s="8" t="s">
        <x:v>91</x:v>
      </x:c>
      <x:c r="H33" s="14" t="s">
        <x:v>199</x:v>
      </x:c>
      <x:c r="I33" s="8" t="s">
        <x:v>253</x:v>
      </x:c>
      <x:c r="J33" s="9" t="s">
        <x:v>201</x:v>
      </x:c>
    </x:row>
    <x:row r="34" ht="64" customHeight="1">
      <x:c r="A34" s="13" t="s">
        <x:v>254</x:v>
      </x:c>
      <x:c r="B34" s="14" t="s">
        <x:v>218</x:v>
      </x:c>
      <x:c r="C34" s="8" t="s">
        <x:v>255</x:v>
      </x:c>
      <x:c r="D34" s="8" t="s">
        <x:v>256</x:v>
      </x:c>
      <x:c r="E34" s="8" t="s">
        <x:v>257</x:v>
      </x:c>
      <x:c r="F34" s="8" t="s">
        <x:v>258</x:v>
      </x:c>
      <x:c r="G34" s="8" t="s">
        <x:v>91</x:v>
      </x:c>
      <x:c r="H34" s="14" t="s">
        <x:v>259</x:v>
      </x:c>
      <x:c r="I34" s="8" t="s">
        <x:v>91</x:v>
      </x:c>
      <x:c r="J34" s="9" t="s">
        <x:v>260</x:v>
      </x:c>
    </x:row>
    <x:row r="35" ht="64" customHeight="1">
      <x:c r="A35" s="13" t="s">
        <x:v>261</x:v>
      </x:c>
      <x:c r="B35" s="14" t="s">
        <x:v>218</x:v>
      </x:c>
      <x:c r="C35" s="8" t="s">
        <x:v>262</x:v>
      </x:c>
      <x:c r="D35" s="8" t="s">
        <x:v>263</x:v>
      </x:c>
      <x:c r="E35" s="8" t="s">
        <x:v>264</x:v>
      </x:c>
      <x:c r="F35" s="8" t="s">
        <x:v>265</x:v>
      </x:c>
      <x:c r="G35" s="8" t="s">
        <x:v>91</x:v>
      </x:c>
      <x:c r="H35" s="14" t="s">
        <x:v>102</x:v>
      </x:c>
      <x:c r="I35" s="8" t="s">
        <x:v>91</x:v>
      </x:c>
      <x:c r="J35" s="9" t="s">
        <x:v>266</x:v>
      </x:c>
    </x:row>
    <x:row r="36" ht="64" customHeight="1">
      <x:c r="A36" s="13" t="s">
        <x:v>267</x:v>
      </x:c>
      <x:c r="B36" s="14" t="s">
        <x:v>218</x:v>
      </x:c>
      <x:c r="C36" s="8" t="s">
        <x:v>268</x:v>
      </x:c>
      <x:c r="D36" s="8" t="s">
        <x:v>269</x:v>
      </x:c>
      <x:c r="E36" s="8" t="s">
        <x:v>270</x:v>
      </x:c>
      <x:c r="F36" s="8" t="s">
        <x:v>265</x:v>
      </x:c>
      <x:c r="G36" s="8" t="s">
        <x:v>91</x:v>
      </x:c>
      <x:c r="H36" s="14" t="s">
        <x:v>102</x:v>
      </x:c>
      <x:c r="I36" s="8" t="s">
        <x:v>91</x:v>
      </x:c>
      <x:c r="J36" s="9" t="s">
        <x:v>266</x:v>
      </x:c>
    </x:row>
    <x:row r="37" ht="64" customHeight="1">
      <x:c r="A37" s="13" t="s">
        <x:v>271</x:v>
      </x:c>
      <x:c r="B37" s="14" t="s">
        <x:v>218</x:v>
      </x:c>
      <x:c r="C37" s="8" t="s">
        <x:v>272</x:v>
      </x:c>
      <x:c r="D37" s="8" t="s">
        <x:v>273</x:v>
      </x:c>
      <x:c r="E37" s="8" t="s">
        <x:v>274</x:v>
      </x:c>
      <x:c r="F37" s="8" t="s">
        <x:v>275</x:v>
      </x:c>
      <x:c r="G37" s="8" t="s">
        <x:v>91</x:v>
      </x:c>
      <x:c r="H37" s="14" t="s">
        <x:v>102</x:v>
      </x:c>
      <x:c r="I37" s="8" t="s">
        <x:v>276</x:v>
      </x:c>
      <x:c r="J37" s="9" t="s">
        <x:v>277</x:v>
      </x:c>
    </x:row>
    <x:row r="38" ht="64" customHeight="1">
      <x:c r="A38" s="13" t="s">
        <x:v>278</x:v>
      </x:c>
      <x:c r="B38" s="14" t="s">
        <x:v>279</x:v>
      </x:c>
      <x:c r="C38" s="8" t="s">
        <x:v>280</x:v>
      </x:c>
      <x:c r="D38" s="8" t="s">
        <x:v>281</x:v>
      </x:c>
      <x:c r="E38" s="8" t="s">
        <x:v>282</x:v>
      </x:c>
      <x:c r="F38" s="8" t="s">
        <x:v>283</x:v>
      </x:c>
      <x:c r="G38" s="8" t="s">
        <x:v>284</x:v>
      </x:c>
      <x:c r="H38" s="14" t="s">
        <x:v>285</x:v>
      </x:c>
      <x:c r="I38" s="8" t="s">
        <x:v>286</x:v>
      </x:c>
      <x:c r="J38" s="9" t="s">
        <x:v>287</x:v>
      </x:c>
    </x:row>
    <x:row r="39" ht="64" customHeight="1">
      <x:c r="A39" s="13" t="s">
        <x:v>288</x:v>
      </x:c>
      <x:c r="B39" s="14" t="s">
        <x:v>279</x:v>
      </x:c>
      <x:c r="C39" s="8" t="s">
        <x:v>289</x:v>
      </x:c>
      <x:c r="D39" s="8" t="s">
        <x:v>290</x:v>
      </x:c>
      <x:c r="E39" s="8" t="s">
        <x:v>291</x:v>
      </x:c>
      <x:c r="F39" s="8" t="s">
        <x:v>283</x:v>
      </x:c>
      <x:c r="G39" s="8" t="s">
        <x:v>292</x:v>
      </x:c>
      <x:c r="H39" s="14" t="s">
        <x:v>285</x:v>
      </x:c>
      <x:c r="I39" s="8" t="s">
        <x:v>293</x:v>
      </x:c>
      <x:c r="J39" s="9" t="s">
        <x:v>287</x:v>
      </x:c>
    </x:row>
    <x:row r="40" ht="64" customHeight="1">
      <x:c r="A40" s="13" t="s">
        <x:v>294</x:v>
      </x:c>
      <x:c r="B40" s="14" t="s">
        <x:v>279</x:v>
      </x:c>
      <x:c r="C40" s="8" t="s">
        <x:v>295</x:v>
      </x:c>
      <x:c r="D40" s="8" t="s">
        <x:v>296</x:v>
      </x:c>
      <x:c r="E40" s="8" t="s">
        <x:v>297</x:v>
      </x:c>
      <x:c r="F40" s="8" t="s">
        <x:v>283</x:v>
      </x:c>
      <x:c r="G40" s="8" t="s">
        <x:v>292</x:v>
      </x:c>
      <x:c r="H40" s="14" t="s">
        <x:v>102</x:v>
      </x:c>
      <x:c r="I40" s="8" t="s">
        <x:v>91</x:v>
      </x:c>
      <x:c r="J40" s="9" t="s">
        <x:v>266</x:v>
      </x:c>
    </x:row>
    <x:row r="41" ht="64" customHeight="1">
      <x:c r="A41" s="13" t="s">
        <x:v>298</x:v>
      </x:c>
      <x:c r="B41" s="14" t="s">
        <x:v>299</x:v>
      </x:c>
      <x:c r="C41" s="8" t="s">
        <x:v>300</x:v>
      </x:c>
      <x:c r="D41" s="8" t="s">
        <x:v>301</x:v>
      </x:c>
      <x:c r="E41" s="8" t="s">
        <x:v>302</x:v>
      </x:c>
      <x:c r="F41" s="8" t="s">
        <x:v>303</x:v>
      </x:c>
      <x:c r="G41" s="8" t="s">
        <x:v>91</x:v>
      </x:c>
      <x:c r="H41" s="14" t="s">
        <x:v>102</x:v>
      </x:c>
      <x:c r="I41" s="8" t="s">
        <x:v>91</x:v>
      </x:c>
      <x:c r="J41" s="9" t="s">
        <x:v>304</x:v>
      </x:c>
    </x:row>
    <x:row r="42" ht="64" customHeight="1">
      <x:c r="A42" s="13" t="s">
        <x:v>305</x:v>
      </x:c>
      <x:c r="B42" s="14" t="s">
        <x:v>299</x:v>
      </x:c>
      <x:c r="C42" s="8" t="s">
        <x:v>306</x:v>
      </x:c>
      <x:c r="D42" s="8" t="s">
        <x:v>307</x:v>
      </x:c>
      <x:c r="E42" s="8" t="s">
        <x:v>308</x:v>
      </x:c>
      <x:c r="F42" s="8" t="s">
        <x:v>309</x:v>
      </x:c>
      <x:c r="G42" s="8" t="s">
        <x:v>91</x:v>
      </x:c>
      <x:c r="H42" s="14" t="s">
        <x:v>102</x:v>
      </x:c>
      <x:c r="I42" s="8" t="s">
        <x:v>310</x:v>
      </x:c>
      <x:c r="J42" s="9" t="s">
        <x:v>311</x:v>
      </x:c>
    </x:row>
    <x:row r="43" ht="64" customHeight="1">
      <x:c r="A43" s="13" t="s">
        <x:v>312</x:v>
      </x:c>
      <x:c r="B43" s="14" t="s">
        <x:v>313</x:v>
      </x:c>
      <x:c r="C43" s="8" t="s">
        <x:v>314</x:v>
      </x:c>
      <x:c r="D43" s="8" t="s">
        <x:v>315</x:v>
      </x:c>
      <x:c r="E43" s="8" t="s">
        <x:v>316</x:v>
      </x:c>
      <x:c r="F43" s="8" t="s">
        <x:v>317</x:v>
      </x:c>
      <x:c r="G43" s="8" t="s">
        <x:v>91</x:v>
      </x:c>
      <x:c r="H43" s="14" t="s">
        <x:v>318</x:v>
      </x:c>
      <x:c r="I43" s="8" t="s">
        <x:v>319</x:v>
      </x:c>
      <x:c r="J43" s="9" t="s">
        <x:v>320</x:v>
      </x:c>
    </x:row>
    <x:row r="44" ht="64" customHeight="1">
      <x:c r="A44" s="15" t="s">
        <x:v>321</x:v>
      </x:c>
      <x:c r="B44" s="16" t="s">
        <x:v>313</x:v>
      </x:c>
      <x:c r="C44" s="11" t="s">
        <x:v>322</x:v>
      </x:c>
      <x:c r="D44" s="11" t="s">
        <x:v>323</x:v>
      </x:c>
      <x:c r="E44" s="11" t="s">
        <x:v>324</x:v>
      </x:c>
      <x:c r="F44" s="11" t="s">
        <x:v>325</x:v>
      </x:c>
      <x:c r="G44" s="11" t="s">
        <x:v>91</x:v>
      </x:c>
      <x:c r="H44" s="16" t="s">
        <x:v>326</x:v>
      </x:c>
      <x:c r="I44" s="11" t="s">
        <x:v>327</x:v>
      </x:c>
      <x:c r="J44" s="12" t="s">
        <x:v>328</x:v>
      </x:c>
    </x:row>
    <x:row r="46" ht="28" customHeight="1">
      <x:c r="A46" s="17" t="s">
        <x:v>329</x:v>
      </x:c>
      <x:c r="B46" s="17"/>
      <x:c r="C46" s="17"/>
      <x:c r="D46" s="17"/>
      <x:c r="E46" s="17"/>
      <x:c r="F46" s="17"/>
      <x:c r="G46" s="17"/>
      <x:c r="H46" s="17"/>
      <x:c r="I46" s="17"/>
      <x:c r="J46" s="17"/>
    </x:row>
  </x:sheetData>
  <x:mergeCells>
    <x:mergeCell ref="A1:J1"/>
    <x:mergeCell ref="A2:J2"/>
    <x:mergeCell ref="A3:J3"/>
    <x:mergeCell ref="A46:J46"/>
  </x:mergeCells>
  <x:conditionalFormatting sqref="H5:H44">
    <x:cfRule type="expression" dxfId="0" priority="1">
      <x:formula>OR(ISNUMBER(SEARCH("TIDAK BOLEH",H5)),ISNUMBER(SEARCH("BLOCK",H5)))</x:formula>
    </x:cfRule>
    <x:cfRule type="expression" dxfId="1" priority="2">
      <x:formula>OR(ISNUMBER(SEARCH("PLACEHOLDER",H5)),ISNUMBER(SEARCH("BACKLOG",H5)),ISNUMBER(SEARCH("PENDING",H5)),ISNUMBER(SEARCH("PREVIEW",H5)))</x:formula>
    </x:cfRule>
    <x:cfRule type="expression" dxfId="2" priority="3">
      <x:formula>ISNUMBER(SEARCH("FINAL",H5))</x:formula>
    </x:cfRule>
  </x:conditionalFormatting>
  <x:pageMargins left="0.7" right="0.7" top="0.75" bottom="0.75" header="0.3" footer="0.3"/>
  <x:tableParts count="1">
    <x:tablePart xmlns:r="http://schemas.openxmlformats.org/officeDocument/2006/relationships" r:id="Ra2b195282cae4817"/>
  </x:tableParts>
</x:worksheet>
</file>

<file path=xl/worksheets/sheet3.xml><?xml version="1.0" encoding="utf-8"?>
<x:worksheet xmlns:x="http://schemas.openxmlformats.org/spreadsheetml/2006/main">
  <x:sheetFormatPr defaultColWidth="9" defaultRowHeight="14"/>
  <x:cols>
    <x:col min="1" max="1" width="17" customWidth="1"/>
    <x:col min="2" max="2" width="28" customWidth="1"/>
    <x:col min="3" max="3" width="24" customWidth="1"/>
    <x:col min="4" max="4" width="45" customWidth="1"/>
    <x:col min="5" max="5" width="55" customWidth="1"/>
    <x:col min="6" max="6" width="45" customWidth="1"/>
    <x:col min="7" max="7" width="55" customWidth="1"/>
    <x:col min="8" max="8" width="30" customWidth="1"/>
    <x:col min="9" max="9" width="22" customWidth="1"/>
    <x:col min="10" max="10" width="42" customWidth="1"/>
  </x:cols>
  <x:sheetData>
    <x:row r="1" ht="36" customHeight="1">
      <x:c r="A1" s="1" t="s">
        <x:v>330</x:v>
      </x:c>
      <x:c r="B1" s="1"/>
      <x:c r="C1" s="1"/>
      <x:c r="D1" s="1"/>
      <x:c r="E1" s="1"/>
      <x:c r="F1" s="1"/>
      <x:c r="G1" s="1"/>
      <x:c r="H1" s="1"/>
      <x:c r="I1" s="1"/>
      <x:c r="J1" s="1"/>
    </x:row>
    <x:row r="2" ht="32" customHeight="1">
      <x:c r="A2" s="2" t="s">
        <x:v>331</x:v>
      </x:c>
      <x:c r="B2" s="2"/>
      <x:c r="C2" s="2"/>
      <x:c r="D2" s="2"/>
      <x:c r="E2" s="2"/>
      <x:c r="F2" s="2"/>
      <x:c r="G2" s="2"/>
      <x:c r="H2" s="2"/>
      <x:c r="I2" s="2"/>
      <x:c r="J2" s="2"/>
    </x:row>
    <x:row r="3" ht="28" customHeight="1">
      <x:c r="A3" s="3" t="s">
        <x:v>75</x:v>
      </x:c>
      <x:c r="B3" s="3"/>
      <x:c r="C3" s="3"/>
      <x:c r="D3" s="3"/>
      <x:c r="E3" s="3"/>
      <x:c r="F3" s="3"/>
      <x:c r="G3" s="3"/>
      <x:c r="H3" s="3"/>
      <x:c r="I3" s="3"/>
      <x:c r="J3" s="3"/>
    </x:row>
    <x:row r="4" ht="34" customHeight="1">
      <x:c r="A4" s="4" t="s">
        <x:v>332</x:v>
      </x:c>
      <x:c r="B4" s="5" t="s">
        <x:v>30</x:v>
      </x:c>
      <x:c r="C4" s="5" t="s">
        <x:v>333</x:v>
      </x:c>
      <x:c r="D4" s="5" t="s">
        <x:v>334</x:v>
      </x:c>
      <x:c r="E4" s="5" t="s">
        <x:v>335</x:v>
      </x:c>
      <x:c r="F4" s="5" t="s">
        <x:v>336</x:v>
      </x:c>
      <x:c r="G4" s="5" t="s">
        <x:v>337</x:v>
      </x:c>
      <x:c r="H4" s="5" t="s">
        <x:v>338</x:v>
      </x:c>
      <x:c r="I4" s="5" t="s">
        <x:v>339</x:v>
      </x:c>
      <x:c r="J4" s="6" t="s">
        <x:v>340</x:v>
      </x:c>
    </x:row>
    <x:row r="5" ht="88" customHeight="1">
      <x:c r="A5" s="13" t="s">
        <x:v>341</x:v>
      </x:c>
      <x:c r="B5" s="14" t="s">
        <x:v>32</x:v>
      </x:c>
      <x:c r="C5" s="14" t="s">
        <x:v>342</x:v>
      </x:c>
      <x:c r="D5" s="8" t="s">
        <x:v>343</x:v>
      </x:c>
      <x:c r="E5" s="8" t="s">
        <x:v>344</x:v>
      </x:c>
      <x:c r="F5" s="8" t="s">
        <x:v>345</x:v>
      </x:c>
      <x:c r="G5" s="8" t="s">
        <x:v>346</x:v>
      </x:c>
      <x:c r="H5" s="8" t="s">
        <x:v>347</x:v>
      </x:c>
      <x:c r="I5" s="14" t="s">
        <x:v>348</x:v>
      </x:c>
      <x:c r="J5" s="9" t="s">
        <x:v>349</x:v>
      </x:c>
    </x:row>
    <x:row r="6" ht="88" customHeight="1">
      <x:c r="A6" s="13" t="s">
        <x:v>350</x:v>
      </x:c>
      <x:c r="B6" s="14" t="s">
        <x:v>33</x:v>
      </x:c>
      <x:c r="C6" s="14" t="s">
        <x:v>342</x:v>
      </x:c>
      <x:c r="D6" s="8" t="s">
        <x:v>351</x:v>
      </x:c>
      <x:c r="E6" s="8" t="s">
        <x:v>352</x:v>
      </x:c>
      <x:c r="F6" s="8" t="s">
        <x:v>353</x:v>
      </x:c>
      <x:c r="G6" s="8" t="s">
        <x:v>354</x:v>
      </x:c>
      <x:c r="H6" s="8" t="s">
        <x:v>355</x:v>
      </x:c>
      <x:c r="I6" s="14" t="s">
        <x:v>356</x:v>
      </x:c>
      <x:c r="J6" s="9" t="s">
        <x:v>357</x:v>
      </x:c>
    </x:row>
    <x:row r="7" ht="88" customHeight="1">
      <x:c r="A7" s="13" t="s">
        <x:v>358</x:v>
      </x:c>
      <x:c r="B7" s="14" t="s">
        <x:v>34</x:v>
      </x:c>
      <x:c r="C7" s="14" t="s">
        <x:v>342</x:v>
      </x:c>
      <x:c r="D7" s="8" t="s">
        <x:v>359</x:v>
      </x:c>
      <x:c r="E7" s="8" t="s">
        <x:v>360</x:v>
      </x:c>
      <x:c r="F7" s="8" t="s">
        <x:v>361</x:v>
      </x:c>
      <x:c r="G7" s="8" t="s">
        <x:v>362</x:v>
      </x:c>
      <x:c r="H7" s="8" t="s">
        <x:v>216</x:v>
      </x:c>
      <x:c r="I7" s="14" t="s">
        <x:v>363</x:v>
      </x:c>
      <x:c r="J7" s="9" t="s">
        <x:v>364</x:v>
      </x:c>
    </x:row>
    <x:row r="8" ht="88" customHeight="1">
      <x:c r="A8" s="13" t="s">
        <x:v>365</x:v>
      </x:c>
      <x:c r="B8" s="14" t="s">
        <x:v>35</x:v>
      </x:c>
      <x:c r="C8" s="14" t="s">
        <x:v>366</x:v>
      </x:c>
      <x:c r="D8" s="8" t="s">
        <x:v>367</x:v>
      </x:c>
      <x:c r="E8" s="8" t="s">
        <x:v>368</x:v>
      </x:c>
      <x:c r="F8" s="8" t="s">
        <x:v>369</x:v>
      </x:c>
      <x:c r="G8" s="8" t="s">
        <x:v>370</x:v>
      </x:c>
      <x:c r="H8" s="8" t="s">
        <x:v>371</x:v>
      </x:c>
      <x:c r="I8" s="14" t="s">
        <x:v>372</x:v>
      </x:c>
      <x:c r="J8" s="9" t="s">
        <x:v>373</x:v>
      </x:c>
    </x:row>
    <x:row r="9" ht="88" customHeight="1">
      <x:c r="A9" s="13" t="s">
        <x:v>374</x:v>
      </x:c>
      <x:c r="B9" s="14" t="s">
        <x:v>36</x:v>
      </x:c>
      <x:c r="C9" s="14" t="s">
        <x:v>342</x:v>
      </x:c>
      <x:c r="D9" s="8" t="s">
        <x:v>375</x:v>
      </x:c>
      <x:c r="E9" s="8" t="s">
        <x:v>376</x:v>
      </x:c>
      <x:c r="F9" s="8" t="s">
        <x:v>377</x:v>
      </x:c>
      <x:c r="G9" s="8" t="s">
        <x:v>378</x:v>
      </x:c>
      <x:c r="H9" s="8" t="s">
        <x:v>379</x:v>
      </x:c>
      <x:c r="I9" s="14" t="s">
        <x:v>380</x:v>
      </x:c>
      <x:c r="J9" s="9" t="s">
        <x:v>381</x:v>
      </x:c>
    </x:row>
    <x:row r="10" ht="88" customHeight="1">
      <x:c r="A10" s="13" t="s">
        <x:v>382</x:v>
      </x:c>
      <x:c r="B10" s="14" t="s">
        <x:v>37</x:v>
      </x:c>
      <x:c r="C10" s="14" t="s">
        <x:v>383</x:v>
      </x:c>
      <x:c r="D10" s="8" t="s">
        <x:v>384</x:v>
      </x:c>
      <x:c r="E10" s="8" t="s">
        <x:v>385</x:v>
      </x:c>
      <x:c r="F10" s="8" t="s">
        <x:v>386</x:v>
      </x:c>
      <x:c r="G10" s="8" t="s">
        <x:v>387</x:v>
      </x:c>
      <x:c r="H10" s="8" t="s">
        <x:v>388</x:v>
      </x:c>
      <x:c r="I10" s="14" t="s">
        <x:v>372</x:v>
      </x:c>
      <x:c r="J10" s="9" t="s">
        <x:v>389</x:v>
      </x:c>
    </x:row>
    <x:row r="11" ht="88" customHeight="1">
      <x:c r="A11" s="13" t="s">
        <x:v>390</x:v>
      </x:c>
      <x:c r="B11" s="14" t="s">
        <x:v>38</x:v>
      </x:c>
      <x:c r="C11" s="14" t="s">
        <x:v>391</x:v>
      </x:c>
      <x:c r="D11" s="8" t="s">
        <x:v>392</x:v>
      </x:c>
      <x:c r="E11" s="8" t="s">
        <x:v>393</x:v>
      </x:c>
      <x:c r="F11" s="8" t="s">
        <x:v>394</x:v>
      </x:c>
      <x:c r="G11" s="8" t="s">
        <x:v>395</x:v>
      </x:c>
      <x:c r="H11" s="8" t="s">
        <x:v>396</x:v>
      </x:c>
      <x:c r="I11" s="14" t="s">
        <x:v>363</x:v>
      </x:c>
      <x:c r="J11" s="9" t="s">
        <x:v>397</x:v>
      </x:c>
    </x:row>
    <x:row r="12" ht="88" customHeight="1">
      <x:c r="A12" s="13" t="s">
        <x:v>398</x:v>
      </x:c>
      <x:c r="B12" s="14" t="s">
        <x:v>39</x:v>
      </x:c>
      <x:c r="C12" s="14" t="s">
        <x:v>391</x:v>
      </x:c>
      <x:c r="D12" s="8" t="s">
        <x:v>399</x:v>
      </x:c>
      <x:c r="E12" s="8" t="s">
        <x:v>400</x:v>
      </x:c>
      <x:c r="F12" s="8" t="s">
        <x:v>401</x:v>
      </x:c>
      <x:c r="G12" s="8" t="s">
        <x:v>402</x:v>
      </x:c>
      <x:c r="H12" s="8" t="s">
        <x:v>403</x:v>
      </x:c>
      <x:c r="I12" s="14" t="s">
        <x:v>404</x:v>
      </x:c>
      <x:c r="J12" s="9" t="s">
        <x:v>405</x:v>
      </x:c>
    </x:row>
    <x:row r="13" ht="88" customHeight="1">
      <x:c r="A13" s="13" t="s">
        <x:v>406</x:v>
      </x:c>
      <x:c r="B13" s="14" t="s">
        <x:v>40</x:v>
      </x:c>
      <x:c r="C13" s="14" t="s">
        <x:v>342</x:v>
      </x:c>
      <x:c r="D13" s="8" t="s">
        <x:v>407</x:v>
      </x:c>
      <x:c r="E13" s="8" t="s">
        <x:v>408</x:v>
      </x:c>
      <x:c r="F13" s="8" t="s">
        <x:v>409</x:v>
      </x:c>
      <x:c r="G13" s="8" t="s">
        <x:v>410</x:v>
      </x:c>
      <x:c r="H13" s="8" t="s">
        <x:v>411</x:v>
      </x:c>
      <x:c r="I13" s="14" t="s">
        <x:v>363</x:v>
      </x:c>
      <x:c r="J13" s="9" t="s">
        <x:v>412</x:v>
      </x:c>
    </x:row>
    <x:row r="14" ht="88" customHeight="1">
      <x:c r="A14" s="13" t="s">
        <x:v>413</x:v>
      </x:c>
      <x:c r="B14" s="14" t="s">
        <x:v>414</x:v>
      </x:c>
      <x:c r="C14" s="14" t="s">
        <x:v>415</x:v>
      </x:c>
      <x:c r="D14" s="8" t="s">
        <x:v>416</x:v>
      </x:c>
      <x:c r="E14" s="8" t="s">
        <x:v>417</x:v>
      </x:c>
      <x:c r="F14" s="8" t="s">
        <x:v>418</x:v>
      </x:c>
      <x:c r="G14" s="8" t="s">
        <x:v>417</x:v>
      </x:c>
      <x:c r="H14" s="8" t="s">
        <x:v>419</x:v>
      </x:c>
      <x:c r="I14" s="14" t="s">
        <x:v>363</x:v>
      </x:c>
      <x:c r="J14" s="9" t="s">
        <x:v>420</x:v>
      </x:c>
    </x:row>
    <x:row r="15" ht="88" customHeight="1">
      <x:c r="A15" s="13" t="s">
        <x:v>421</x:v>
      </x:c>
      <x:c r="B15" s="14" t="s">
        <x:v>422</x:v>
      </x:c>
      <x:c r="C15" s="14" t="s">
        <x:v>415</x:v>
      </x:c>
      <x:c r="D15" s="8" t="s">
        <x:v>423</x:v>
      </x:c>
      <x:c r="E15" s="8" t="s">
        <x:v>424</x:v>
      </x:c>
      <x:c r="F15" s="8" t="s">
        <x:v>425</x:v>
      </x:c>
      <x:c r="G15" s="8" t="s">
        <x:v>426</x:v>
      </x:c>
      <x:c r="H15" s="8" t="s">
        <x:v>419</x:v>
      </x:c>
      <x:c r="I15" s="14" t="s">
        <x:v>363</x:v>
      </x:c>
      <x:c r="J15" s="9" t="s">
        <x:v>427</x:v>
      </x:c>
    </x:row>
    <x:row r="16" ht="88" customHeight="1">
      <x:c r="A16" s="13" t="s">
        <x:v>428</x:v>
      </x:c>
      <x:c r="B16" s="14" t="s">
        <x:v>429</x:v>
      </x:c>
      <x:c r="C16" s="14" t="s">
        <x:v>415</x:v>
      </x:c>
      <x:c r="D16" s="8" t="s">
        <x:v>430</x:v>
      </x:c>
      <x:c r="E16" s="8" t="s">
        <x:v>431</x:v>
      </x:c>
      <x:c r="F16" s="8" t="s">
        <x:v>432</x:v>
      </x:c>
      <x:c r="G16" s="8" t="s">
        <x:v>431</x:v>
      </x:c>
      <x:c r="H16" s="8" t="s">
        <x:v>419</x:v>
      </x:c>
      <x:c r="I16" s="14" t="s">
        <x:v>363</x:v>
      </x:c>
      <x:c r="J16" s="9" t="s">
        <x:v>433</x:v>
      </x:c>
    </x:row>
    <x:row r="17" ht="88" customHeight="1">
      <x:c r="A17" s="13" t="s">
        <x:v>434</x:v>
      </x:c>
      <x:c r="B17" s="14" t="s">
        <x:v>435</x:v>
      </x:c>
      <x:c r="C17" s="14" t="s">
        <x:v>415</x:v>
      </x:c>
      <x:c r="D17" s="8" t="s">
        <x:v>436</x:v>
      </x:c>
      <x:c r="E17" s="8" t="s">
        <x:v>437</x:v>
      </x:c>
      <x:c r="F17" s="8" t="s">
        <x:v>438</x:v>
      </x:c>
      <x:c r="G17" s="8" t="s">
        <x:v>437</x:v>
      </x:c>
      <x:c r="H17" s="8" t="s">
        <x:v>419</x:v>
      </x:c>
      <x:c r="I17" s="14" t="s">
        <x:v>363</x:v>
      </x:c>
      <x:c r="J17" s="9" t="s">
        <x:v>439</x:v>
      </x:c>
    </x:row>
    <x:row r="18" ht="88" customHeight="1">
      <x:c r="A18" s="13" t="s">
        <x:v>440</x:v>
      </x:c>
      <x:c r="B18" s="14" t="s">
        <x:v>42</x:v>
      </x:c>
      <x:c r="C18" s="14" t="s">
        <x:v>415</x:v>
      </x:c>
      <x:c r="D18" s="8" t="s">
        <x:v>441</x:v>
      </x:c>
      <x:c r="E18" s="8" t="s">
        <x:v>442</x:v>
      </x:c>
      <x:c r="F18" s="8" t="s">
        <x:v>443</x:v>
      </x:c>
      <x:c r="G18" s="8" t="s">
        <x:v>444</x:v>
      </x:c>
      <x:c r="H18" s="8" t="s">
        <x:v>445</x:v>
      </x:c>
      <x:c r="I18" s="14" t="s">
        <x:v>363</x:v>
      </x:c>
      <x:c r="J18" s="9" t="s">
        <x:v>446</x:v>
      </x:c>
    </x:row>
    <x:row r="19" ht="88" customHeight="1">
      <x:c r="A19" s="13" t="s">
        <x:v>447</x:v>
      </x:c>
      <x:c r="B19" s="14" t="s">
        <x:v>43</x:v>
      </x:c>
      <x:c r="C19" s="14" t="s">
        <x:v>448</x:v>
      </x:c>
      <x:c r="D19" s="8" t="s">
        <x:v>449</x:v>
      </x:c>
      <x:c r="E19" s="8" t="s">
        <x:v>450</x:v>
      </x:c>
      <x:c r="F19" s="8" t="s">
        <x:v>451</x:v>
      </x:c>
      <x:c r="G19" s="8" t="s">
        <x:v>450</x:v>
      </x:c>
      <x:c r="H19" s="8" t="s">
        <x:v>452</x:v>
      </x:c>
      <x:c r="I19" s="14" t="s">
        <x:v>372</x:v>
      </x:c>
      <x:c r="J19" s="9" t="s">
        <x:v>453</x:v>
      </x:c>
    </x:row>
    <x:row r="20" ht="88" customHeight="1">
      <x:c r="A20" s="15" t="s">
        <x:v>454</x:v>
      </x:c>
      <x:c r="B20" s="16" t="s">
        <x:v>44</x:v>
      </x:c>
      <x:c r="C20" s="16" t="s">
        <x:v>448</x:v>
      </x:c>
      <x:c r="D20" s="11" t="s">
        <x:v>455</x:v>
      </x:c>
      <x:c r="E20" s="11" t="s">
        <x:v>456</x:v>
      </x:c>
      <x:c r="F20" s="11" t="s">
        <x:v>457</x:v>
      </x:c>
      <x:c r="G20" s="11" t="s">
        <x:v>456</x:v>
      </x:c>
      <x:c r="H20" s="11" t="s">
        <x:v>458</x:v>
      </x:c>
      <x:c r="I20" s="16" t="s">
        <x:v>372</x:v>
      </x:c>
      <x:c r="J20" s="12" t="s">
        <x:v>459</x:v>
      </x:c>
    </x:row>
  </x:sheetData>
  <x:mergeCells>
    <x:mergeCell ref="A1:J1"/>
    <x:mergeCell ref="A2:J2"/>
    <x:mergeCell ref="A3:J3"/>
  </x:mergeCells>
  <x:pageMargins left="0.7" right="0.7" top="0.75" bottom="0.75" header="0.3" footer="0.3"/>
  <x:tableParts count="1">
    <x:tablePart xmlns:r="http://schemas.openxmlformats.org/officeDocument/2006/relationships" r:id="Rbb8859fc1fd24e59"/>
  </x:tableParts>
</x:worksheet>
</file>

<file path=xl/worksheets/sheet4.xml><?xml version="1.0" encoding="utf-8"?>
<x:worksheet xmlns:x="http://schemas.openxmlformats.org/spreadsheetml/2006/main">
  <x:sheetFormatPr defaultColWidth="9" defaultRowHeight="14"/>
  <x:cols>
    <x:col min="1" max="1" width="12" customWidth="1"/>
    <x:col min="2" max="2" width="27" customWidth="1"/>
    <x:col min="3" max="3" width="25" customWidth="1"/>
    <x:col min="4" max="4" width="8" customWidth="1"/>
    <x:col min="5" max="5" width="24" customWidth="1"/>
    <x:col min="6" max="6" width="18" customWidth="1"/>
    <x:col min="7" max="7" width="42" customWidth="1"/>
    <x:col min="8" max="8" width="58" customWidth="1"/>
    <x:col min="9" max="9" width="54" customWidth="1"/>
    <x:col min="10" max="10" width="42" customWidth="1"/>
    <x:col min="11" max="11" width="23" customWidth="1"/>
    <x:col min="12" max="12" width="22" customWidth="1"/>
    <x:col min="13" max="13" width="23" customWidth="1"/>
    <x:col min="14" max="14" width="28" customWidth="1"/>
    <x:col min="15" max="15" width="42" customWidth="1"/>
    <x:col min="16" max="16" width="30" customWidth="1"/>
    <x:col min="17" max="17" width="29" customWidth="1"/>
  </x:cols>
  <x:sheetData>
    <x:row r="1" ht="36" customHeight="1">
      <x:c r="A1" s="1" t="s">
        <x:v>460</x:v>
      </x:c>
      <x:c r="B1" s="1"/>
      <x:c r="C1" s="1"/>
      <x:c r="D1" s="1"/>
      <x:c r="E1" s="1"/>
      <x:c r="F1" s="1"/>
      <x:c r="G1" s="1"/>
      <x:c r="H1" s="1"/>
      <x:c r="I1" s="1"/>
      <x:c r="J1" s="1"/>
      <x:c r="K1" s="1"/>
      <x:c r="L1" s="1"/>
      <x:c r="M1" s="1"/>
      <x:c r="N1" s="1"/>
      <x:c r="O1" s="1"/>
      <x:c r="P1" s="1"/>
      <x:c r="Q1" s="1"/>
    </x:row>
    <x:row r="2" ht="32" customHeight="1">
      <x:c r="A2" s="2" t="s">
        <x:v>461</x:v>
      </x:c>
      <x:c r="B2" s="2"/>
      <x:c r="C2" s="2"/>
      <x:c r="D2" s="2"/>
      <x:c r="E2" s="2"/>
      <x:c r="F2" s="2"/>
      <x:c r="G2" s="2"/>
      <x:c r="H2" s="2"/>
      <x:c r="I2" s="2"/>
      <x:c r="J2" s="2"/>
      <x:c r="K2" s="2"/>
      <x:c r="L2" s="2"/>
      <x:c r="M2" s="2"/>
      <x:c r="N2" s="2"/>
      <x:c r="O2" s="2"/>
      <x:c r="P2" s="2"/>
      <x:c r="Q2" s="2"/>
    </x:row>
    <x:row r="3" ht="28" customHeight="1">
      <x:c r="A3" s="3" t="s">
        <x:v>75</x:v>
      </x:c>
      <x:c r="B3" s="3"/>
      <x:c r="C3" s="3"/>
      <x:c r="D3" s="3"/>
      <x:c r="E3" s="3"/>
      <x:c r="F3" s="3"/>
      <x:c r="G3" s="3"/>
      <x:c r="H3" s="3"/>
      <x:c r="I3" s="3"/>
      <x:c r="J3" s="3"/>
      <x:c r="K3" s="3"/>
      <x:c r="L3" s="3"/>
      <x:c r="M3" s="3"/>
      <x:c r="N3" s="3"/>
      <x:c r="O3" s="3"/>
      <x:c r="P3" s="3"/>
      <x:c r="Q3" s="3"/>
    </x:row>
    <x:row r="4" ht="34" customHeight="1">
      <x:c r="A4" s="4" t="s">
        <x:v>462</x:v>
      </x:c>
      <x:c r="B4" s="5" t="s">
        <x:v>30</x:v>
      </x:c>
      <x:c r="C4" s="5" t="s">
        <x:v>333</x:v>
      </x:c>
      <x:c r="D4" s="5" t="s">
        <x:v>463</x:v>
      </x:c>
      <x:c r="E4" s="5" t="s">
        <x:v>464</x:v>
      </x:c>
      <x:c r="F4" s="5" t="s">
        <x:v>332</x:v>
      </x:c>
      <x:c r="G4" s="5" t="s">
        <x:v>465</x:v>
      </x:c>
      <x:c r="H4" s="5" t="s">
        <x:v>466</x:v>
      </x:c>
      <x:c r="I4" s="5" t="s">
        <x:v>467</x:v>
      </x:c>
      <x:c r="J4" s="5" t="s">
        <x:v>468</x:v>
      </x:c>
      <x:c r="K4" s="5" t="s">
        <x:v>122</x:v>
      </x:c>
      <x:c r="L4" s="5" t="s">
        <x:v>469</x:v>
      </x:c>
      <x:c r="M4" s="5" t="s">
        <x:v>130</x:v>
      </x:c>
      <x:c r="N4" s="5" t="s">
        <x:v>83</x:v>
      </x:c>
      <x:c r="O4" s="5" t="s">
        <x:v>470</x:v>
      </x:c>
      <x:c r="P4" s="5" t="s">
        <x:v>85</x:v>
      </x:c>
      <x:c r="Q4" s="6" t="s">
        <x:v>471</x:v>
      </x:c>
    </x:row>
    <x:row r="5" ht="112" customHeight="1">
      <x:c r="A5" s="13" t="s">
        <x:v>472</x:v>
      </x:c>
      <x:c r="B5" s="14" t="s">
        <x:v>33</x:v>
      </x:c>
      <x:c r="C5" s="14" t="s">
        <x:v>342</x:v>
      </x:c>
      <x:c r="D5" s="14">
        <x:v>1</x:v>
      </x:c>
      <x:c r="E5" s="8" t="s">
        <x:v>473</x:v>
      </x:c>
      <x:c r="F5" s="14" t="s">
        <x:v>350</x:v>
      </x:c>
      <x:c r="G5" s="8" t="s">
        <x:v>474</x:v>
      </x:c>
      <x:c r="H5" s="8" t="s">
        <x:v>475</x:v>
      </x:c>
      <x:c r="I5" s="8" t="s">
        <x:v>476</x:v>
      </x:c>
      <x:c r="J5" s="8" t="s">
        <x:v>477</x:v>
      </x:c>
      <x:c r="K5" s="14" t="s">
        <x:v>123</x:v>
      </x:c>
      <x:c r="L5" s="14" t="s">
        <x:v>40</x:v>
      </x:c>
      <x:c r="M5" s="14" t="s">
        <x:v>131</x:v>
      </x:c>
      <x:c r="N5" s="14" t="s">
        <x:v>92</x:v>
      </x:c>
      <x:c r="O5" s="8" t="s">
        <x:v>478</x:v>
      </x:c>
      <x:c r="P5" s="8" t="s">
        <x:v>479</x:v>
      </x:c>
      <x:c r="Q5" s="22" t="s">
        <x:v>480</x:v>
      </x:c>
    </x:row>
    <x:row r="6" ht="112" customHeight="1">
      <x:c r="A6" s="13" t="s">
        <x:v>481</x:v>
      </x:c>
      <x:c r="B6" s="14" t="s">
        <x:v>33</x:v>
      </x:c>
      <x:c r="C6" s="14" t="s">
        <x:v>342</x:v>
      </x:c>
      <x:c r="D6" s="14">
        <x:v>2</x:v>
      </x:c>
      <x:c r="E6" s="8" t="s">
        <x:v>482</x:v>
      </x:c>
      <x:c r="F6" s="14" t="s">
        <x:v>350</x:v>
      </x:c>
      <x:c r="G6" s="8" t="s">
        <x:v>483</x:v>
      </x:c>
      <x:c r="H6" s="8" t="s">
        <x:v>484</x:v>
      </x:c>
      <x:c r="I6" s="8" t="s">
        <x:v>485</x:v>
      </x:c>
      <x:c r="J6" s="8" t="s">
        <x:v>486</x:v>
      </x:c>
      <x:c r="K6" s="14" t="s">
        <x:v>487</x:v>
      </x:c>
      <x:c r="L6" s="14" t="s">
        <x:v>36</x:v>
      </x:c>
      <x:c r="M6" s="14" t="s">
        <x:v>91</x:v>
      </x:c>
      <x:c r="N6" s="14" t="s">
        <x:v>102</x:v>
      </x:c>
      <x:c r="O6" s="8" t="s">
        <x:v>91</x:v>
      </x:c>
      <x:c r="P6" s="8" t="s">
        <x:v>488</x:v>
      </x:c>
      <x:c r="Q6" s="22" t="s">
        <x:v>480</x:v>
      </x:c>
    </x:row>
    <x:row r="7" ht="112" customHeight="1">
      <x:c r="A7" s="13" t="s">
        <x:v>489</x:v>
      </x:c>
      <x:c r="B7" s="14" t="s">
        <x:v>33</x:v>
      </x:c>
      <x:c r="C7" s="14" t="s">
        <x:v>342</x:v>
      </x:c>
      <x:c r="D7" s="14">
        <x:v>3</x:v>
      </x:c>
      <x:c r="E7" s="8" t="s">
        <x:v>490</x:v>
      </x:c>
      <x:c r="F7" s="14" t="s">
        <x:v>350</x:v>
      </x:c>
      <x:c r="G7" s="8" t="s">
        <x:v>491</x:v>
      </x:c>
      <x:c r="H7" s="8" t="s">
        <x:v>492</x:v>
      </x:c>
      <x:c r="I7" s="8" t="s">
        <x:v>493</x:v>
      </x:c>
      <x:c r="J7" s="8" t="s">
        <x:v>494</x:v>
      </x:c>
      <x:c r="K7" s="14" t="s">
        <x:v>495</x:v>
      </x:c>
      <x:c r="L7" s="14" t="s">
        <x:v>36</x:v>
      </x:c>
      <x:c r="M7" s="14" t="s">
        <x:v>91</x:v>
      </x:c>
      <x:c r="N7" s="14" t="s">
        <x:v>92</x:v>
      </x:c>
      <x:c r="O7" s="8" t="s">
        <x:v>496</x:v>
      </x:c>
      <x:c r="P7" s="8" t="s">
        <x:v>497</x:v>
      </x:c>
      <x:c r="Q7" s="22" t="s">
        <x:v>480</x:v>
      </x:c>
    </x:row>
    <x:row r="8" ht="112" customHeight="1">
      <x:c r="A8" s="13" t="s">
        <x:v>498</x:v>
      </x:c>
      <x:c r="B8" s="14" t="s">
        <x:v>33</x:v>
      </x:c>
      <x:c r="C8" s="14" t="s">
        <x:v>342</x:v>
      </x:c>
      <x:c r="D8" s="14">
        <x:v>4</x:v>
      </x:c>
      <x:c r="E8" s="8" t="s">
        <x:v>499</x:v>
      </x:c>
      <x:c r="F8" s="14" t="s">
        <x:v>350</x:v>
      </x:c>
      <x:c r="G8" s="8" t="s">
        <x:v>500</x:v>
      </x:c>
      <x:c r="H8" s="8" t="s">
        <x:v>501</x:v>
      </x:c>
      <x:c r="I8" s="8" t="s">
        <x:v>502</x:v>
      </x:c>
      <x:c r="J8" s="8" t="s">
        <x:v>503</x:v>
      </x:c>
      <x:c r="K8" s="14" t="s">
        <x:v>504</x:v>
      </x:c>
      <x:c r="L8" s="14" t="s">
        <x:v>40</x:v>
      </x:c>
      <x:c r="M8" s="14" t="s">
        <x:v>91</x:v>
      </x:c>
      <x:c r="N8" s="14" t="s">
        <x:v>505</x:v>
      </x:c>
      <x:c r="O8" s="8" t="s">
        <x:v>506</x:v>
      </x:c>
      <x:c r="P8" s="8" t="s">
        <x:v>507</x:v>
      </x:c>
      <x:c r="Q8" s="22" t="s">
        <x:v>480</x:v>
      </x:c>
    </x:row>
    <x:row r="9" ht="112" customHeight="1">
      <x:c r="A9" s="13" t="s">
        <x:v>508</x:v>
      </x:c>
      <x:c r="B9" s="14" t="s">
        <x:v>33</x:v>
      </x:c>
      <x:c r="C9" s="14" t="s">
        <x:v>342</x:v>
      </x:c>
      <x:c r="D9" s="14">
        <x:v>5</x:v>
      </x:c>
      <x:c r="E9" s="8" t="s">
        <x:v>499</x:v>
      </x:c>
      <x:c r="F9" s="14" t="s">
        <x:v>350</x:v>
      </x:c>
      <x:c r="G9" s="8" t="s">
        <x:v>509</x:v>
      </x:c>
      <x:c r="H9" s="8" t="s">
        <x:v>510</x:v>
      </x:c>
      <x:c r="I9" s="8" t="s">
        <x:v>511</x:v>
      </x:c>
      <x:c r="J9" s="8" t="s">
        <x:v>512</x:v>
      </x:c>
      <x:c r="K9" s="14" t="s">
        <x:v>504</x:v>
      </x:c>
      <x:c r="L9" s="14" t="s">
        <x:v>40</x:v>
      </x:c>
      <x:c r="M9" s="14" t="s">
        <x:v>91</x:v>
      </x:c>
      <x:c r="N9" s="14" t="s">
        <x:v>505</x:v>
      </x:c>
      <x:c r="O9" s="8" t="s">
        <x:v>513</x:v>
      </x:c>
      <x:c r="P9" s="8" t="s">
        <x:v>507</x:v>
      </x:c>
      <x:c r="Q9" s="22" t="s">
        <x:v>480</x:v>
      </x:c>
    </x:row>
    <x:row r="10" ht="112" customHeight="1">
      <x:c r="A10" s="13" t="s">
        <x:v>514</x:v>
      </x:c>
      <x:c r="B10" s="14" t="s">
        <x:v>33</x:v>
      </x:c>
      <x:c r="C10" s="14" t="s">
        <x:v>342</x:v>
      </x:c>
      <x:c r="D10" s="14">
        <x:v>6</x:v>
      </x:c>
      <x:c r="E10" s="8" t="s">
        <x:v>499</x:v>
      </x:c>
      <x:c r="F10" s="14" t="s">
        <x:v>350</x:v>
      </x:c>
      <x:c r="G10" s="8" t="s">
        <x:v>515</x:v>
      </x:c>
      <x:c r="H10" s="8" t="s">
        <x:v>516</x:v>
      </x:c>
      <x:c r="I10" s="8" t="s">
        <x:v>517</x:v>
      </x:c>
      <x:c r="J10" s="8" t="s">
        <x:v>518</x:v>
      </x:c>
      <x:c r="K10" s="14" t="s">
        <x:v>504</x:v>
      </x:c>
      <x:c r="L10" s="14" t="s">
        <x:v>40</x:v>
      </x:c>
      <x:c r="M10" s="14" t="s">
        <x:v>91</x:v>
      </x:c>
      <x:c r="N10" s="14" t="s">
        <x:v>505</x:v>
      </x:c>
      <x:c r="O10" s="8" t="s">
        <x:v>519</x:v>
      </x:c>
      <x:c r="P10" s="8" t="s">
        <x:v>507</x:v>
      </x:c>
      <x:c r="Q10" s="22" t="s">
        <x:v>480</x:v>
      </x:c>
    </x:row>
    <x:row r="11" ht="112" customHeight="1">
      <x:c r="A11" s="13" t="s">
        <x:v>520</x:v>
      </x:c>
      <x:c r="B11" s="14" t="s">
        <x:v>33</x:v>
      </x:c>
      <x:c r="C11" s="14" t="s">
        <x:v>342</x:v>
      </x:c>
      <x:c r="D11" s="14">
        <x:v>7</x:v>
      </x:c>
      <x:c r="E11" s="8" t="s">
        <x:v>499</x:v>
      </x:c>
      <x:c r="F11" s="14" t="s">
        <x:v>350</x:v>
      </x:c>
      <x:c r="G11" s="8" t="s">
        <x:v>521</x:v>
      </x:c>
      <x:c r="H11" s="8" t="s">
        <x:v>522</x:v>
      </x:c>
      <x:c r="I11" s="8" t="s">
        <x:v>523</x:v>
      </x:c>
      <x:c r="J11" s="8" t="s">
        <x:v>524</x:v>
      </x:c>
      <x:c r="K11" s="14" t="s">
        <x:v>504</x:v>
      </x:c>
      <x:c r="L11" s="14" t="s">
        <x:v>40</x:v>
      </x:c>
      <x:c r="M11" s="14" t="s">
        <x:v>91</x:v>
      </x:c>
      <x:c r="N11" s="14" t="s">
        <x:v>505</x:v>
      </x:c>
      <x:c r="O11" s="8" t="s">
        <x:v>525</x:v>
      </x:c>
      <x:c r="P11" s="8" t="s">
        <x:v>507</x:v>
      </x:c>
      <x:c r="Q11" s="22" t="s">
        <x:v>480</x:v>
      </x:c>
    </x:row>
    <x:row r="12" ht="112" customHeight="1">
      <x:c r="A12" s="13" t="s">
        <x:v>526</x:v>
      </x:c>
      <x:c r="B12" s="14" t="s">
        <x:v>33</x:v>
      </x:c>
      <x:c r="C12" s="14" t="s">
        <x:v>342</x:v>
      </x:c>
      <x:c r="D12" s="14">
        <x:v>8</x:v>
      </x:c>
      <x:c r="E12" s="8" t="s">
        <x:v>527</x:v>
      </x:c>
      <x:c r="F12" s="14" t="s">
        <x:v>350</x:v>
      </x:c>
      <x:c r="G12" s="8" t="s">
        <x:v>528</x:v>
      </x:c>
      <x:c r="H12" s="8" t="s">
        <x:v>529</x:v>
      </x:c>
      <x:c r="I12" s="8" t="s">
        <x:v>530</x:v>
      </x:c>
      <x:c r="J12" s="8" t="s">
        <x:v>531</x:v>
      </x:c>
      <x:c r="K12" s="14" t="s">
        <x:v>532</x:v>
      </x:c>
      <x:c r="L12" s="14" t="s">
        <x:v>40</x:v>
      </x:c>
      <x:c r="M12" s="14" t="s">
        <x:v>131</x:v>
      </x:c>
      <x:c r="N12" s="14" t="s">
        <x:v>102</x:v>
      </x:c>
      <x:c r="O12" s="8" t="s">
        <x:v>533</x:v>
      </x:c>
      <x:c r="P12" s="8" t="s">
        <x:v>185</x:v>
      </x:c>
      <x:c r="Q12" s="22" t="s">
        <x:v>480</x:v>
      </x:c>
    </x:row>
    <x:row r="13" ht="112" customHeight="1">
      <x:c r="A13" s="13" t="s">
        <x:v>534</x:v>
      </x:c>
      <x:c r="B13" s="14" t="s">
        <x:v>33</x:v>
      </x:c>
      <x:c r="C13" s="14" t="s">
        <x:v>342</x:v>
      </x:c>
      <x:c r="D13" s="14">
        <x:v>9</x:v>
      </x:c>
      <x:c r="E13" s="8" t="s">
        <x:v>535</x:v>
      </x:c>
      <x:c r="F13" s="14" t="s">
        <x:v>350</x:v>
      </x:c>
      <x:c r="G13" s="8" t="s">
        <x:v>536</x:v>
      </x:c>
      <x:c r="H13" s="8" t="s">
        <x:v>165</x:v>
      </x:c>
      <x:c r="I13" s="8" t="s">
        <x:v>537</x:v>
      </x:c>
      <x:c r="J13" s="8" t="s">
        <x:v>538</x:v>
      </x:c>
      <x:c r="K13" s="14" t="s">
        <x:v>539</x:v>
      </x:c>
      <x:c r="L13" s="14" t="s">
        <x:v>34</x:v>
      </x:c>
      <x:c r="M13" s="14" t="s">
        <x:v>91</x:v>
      </x:c>
      <x:c r="N13" s="14" t="s">
        <x:v>92</x:v>
      </x:c>
      <x:c r="O13" s="8" t="s">
        <x:v>540</x:v>
      </x:c>
      <x:c r="P13" s="8" t="s">
        <x:v>541</x:v>
      </x:c>
      <x:c r="Q13" s="22" t="s">
        <x:v>480</x:v>
      </x:c>
    </x:row>
    <x:row r="14" ht="112" customHeight="1">
      <x:c r="A14" s="13" t="s">
        <x:v>542</x:v>
      </x:c>
      <x:c r="B14" s="14" t="s">
        <x:v>33</x:v>
      </x:c>
      <x:c r="C14" s="14" t="s">
        <x:v>543</x:v>
      </x:c>
      <x:c r="D14" s="14">
        <x:v>10</x:v>
      </x:c>
      <x:c r="E14" s="8" t="s">
        <x:v>544</x:v>
      </x:c>
      <x:c r="F14" s="14" t="s">
        <x:v>350</x:v>
      </x:c>
      <x:c r="G14" s="8" t="s">
        <x:v>545</x:v>
      </x:c>
      <x:c r="H14" s="8" t="s">
        <x:v>546</x:v>
      </x:c>
      <x:c r="I14" s="8" t="s">
        <x:v>547</x:v>
      </x:c>
      <x:c r="J14" s="8" t="s">
        <x:v>548</x:v>
      </x:c>
      <x:c r="K14" s="14" t="s">
        <x:v>549</x:v>
      </x:c>
      <x:c r="L14" s="14" t="s">
        <x:v>37</x:v>
      </x:c>
      <x:c r="M14" s="14" t="s">
        <x:v>123</x:v>
      </x:c>
      <x:c r="N14" s="14" t="s">
        <x:v>550</x:v>
      </x:c>
      <x:c r="O14" s="8" t="s">
        <x:v>551</x:v>
      </x:c>
      <x:c r="P14" s="8" t="s">
        <x:v>388</x:v>
      </x:c>
      <x:c r="Q14" s="22" t="s">
        <x:v>552</x:v>
      </x:c>
    </x:row>
    <x:row r="15" ht="112" customHeight="1">
      <x:c r="A15" s="13" t="s">
        <x:v>553</x:v>
      </x:c>
      <x:c r="B15" s="14" t="s">
        <x:v>33</x:v>
      </x:c>
      <x:c r="C15" s="14" t="s">
        <x:v>554</x:v>
      </x:c>
      <x:c r="D15" s="14">
        <x:v>11</x:v>
      </x:c>
      <x:c r="E15" s="8" t="s">
        <x:v>555</x:v>
      </x:c>
      <x:c r="F15" s="14" t="s">
        <x:v>350</x:v>
      </x:c>
      <x:c r="G15" s="8" t="s">
        <x:v>556</x:v>
      </x:c>
      <x:c r="H15" s="8" t="s">
        <x:v>557</x:v>
      </x:c>
      <x:c r="I15" s="8" t="s">
        <x:v>558</x:v>
      </x:c>
      <x:c r="J15" s="8" t="s">
        <x:v>559</x:v>
      </x:c>
      <x:c r="K15" s="14" t="s">
        <x:v>560</x:v>
      </x:c>
      <x:c r="L15" s="14" t="s">
        <x:v>38</x:v>
      </x:c>
      <x:c r="M15" s="14" t="s">
        <x:v>91</x:v>
      </x:c>
      <x:c r="N15" s="14" t="s">
        <x:v>561</x:v>
      </x:c>
      <x:c r="O15" s="8" t="s">
        <x:v>562</x:v>
      </x:c>
      <x:c r="P15" s="8" t="s">
        <x:v>396</x:v>
      </x:c>
      <x:c r="Q15" s="22" t="s">
        <x:v>480</x:v>
      </x:c>
    </x:row>
    <x:row r="16" ht="112" customHeight="1">
      <x:c r="A16" s="13" t="s">
        <x:v>563</x:v>
      </x:c>
      <x:c r="B16" s="14" t="s">
        <x:v>33</x:v>
      </x:c>
      <x:c r="C16" s="14" t="s">
        <x:v>342</x:v>
      </x:c>
      <x:c r="D16" s="14">
        <x:v>12</x:v>
      </x:c>
      <x:c r="E16" s="8" t="s">
        <x:v>564</x:v>
      </x:c>
      <x:c r="F16" s="14" t="s">
        <x:v>350</x:v>
      </x:c>
      <x:c r="G16" s="8" t="s">
        <x:v>565</x:v>
      </x:c>
      <x:c r="H16" s="8" t="s">
        <x:v>566</x:v>
      </x:c>
      <x:c r="I16" s="8" t="s">
        <x:v>256</x:v>
      </x:c>
      <x:c r="J16" s="8" t="s">
        <x:v>567</x:v>
      </x:c>
      <x:c r="K16" s="14" t="s">
        <x:v>123</x:v>
      </x:c>
      <x:c r="L16" s="14" t="s">
        <x:v>40</x:v>
      </x:c>
      <x:c r="M16" s="14" t="s">
        <x:v>91</x:v>
      </x:c>
      <x:c r="N16" s="14" t="s">
        <x:v>102</x:v>
      </x:c>
      <x:c r="O16" s="8" t="s">
        <x:v>568</x:v>
      </x:c>
      <x:c r="P16" s="8" t="s">
        <x:v>569</x:v>
      </x:c>
      <x:c r="Q16" s="22" t="s">
        <x:v>480</x:v>
      </x:c>
    </x:row>
    <x:row r="17" ht="112" customHeight="1">
      <x:c r="A17" s="13" t="s">
        <x:v>570</x:v>
      </x:c>
      <x:c r="B17" s="14" t="s">
        <x:v>34</x:v>
      </x:c>
      <x:c r="C17" s="14" t="s">
        <x:v>342</x:v>
      </x:c>
      <x:c r="D17" s="14">
        <x:v>1</x:v>
      </x:c>
      <x:c r="E17" s="8" t="s">
        <x:v>473</x:v>
      </x:c>
      <x:c r="F17" s="14" t="s">
        <x:v>358</x:v>
      </x:c>
      <x:c r="G17" s="8" t="s">
        <x:v>571</x:v>
      </x:c>
      <x:c r="H17" s="8" t="s">
        <x:v>572</x:v>
      </x:c>
      <x:c r="I17" s="8" t="s">
        <x:v>573</x:v>
      </x:c>
      <x:c r="J17" s="8" t="s">
        <x:v>574</x:v>
      </x:c>
      <x:c r="K17" s="14" t="s">
        <x:v>123</x:v>
      </x:c>
      <x:c r="L17" s="14" t="s">
        <x:v>40</x:v>
      </x:c>
      <x:c r="M17" s="14" t="s">
        <x:v>131</x:v>
      </x:c>
      <x:c r="N17" s="14" t="s">
        <x:v>102</x:v>
      </x:c>
      <x:c r="O17" s="8" t="s">
        <x:v>91</x:v>
      </x:c>
      <x:c r="P17" s="8" t="s">
        <x:v>575</x:v>
      </x:c>
      <x:c r="Q17" s="22" t="s">
        <x:v>480</x:v>
      </x:c>
    </x:row>
    <x:row r="18" ht="112" customHeight="1">
      <x:c r="A18" s="13" t="s">
        <x:v>576</x:v>
      </x:c>
      <x:c r="B18" s="14" t="s">
        <x:v>34</x:v>
      </x:c>
      <x:c r="C18" s="14" t="s">
        <x:v>342</x:v>
      </x:c>
      <x:c r="D18" s="14">
        <x:v>2</x:v>
      </x:c>
      <x:c r="E18" s="8" t="s">
        <x:v>577</x:v>
      </x:c>
      <x:c r="F18" s="14" t="s">
        <x:v>358</x:v>
      </x:c>
      <x:c r="G18" s="8" t="s">
        <x:v>578</x:v>
      </x:c>
      <x:c r="H18" s="8" t="s">
        <x:v>165</x:v>
      </x:c>
      <x:c r="I18" s="8" t="s">
        <x:v>579</x:v>
      </x:c>
      <x:c r="J18" s="8" t="s">
        <x:v>580</x:v>
      </x:c>
      <x:c r="K18" s="14" t="s">
        <x:v>91</x:v>
      </x:c>
      <x:c r="L18" s="14" t="s">
        <x:v>91</x:v>
      </x:c>
      <x:c r="M18" s="14" t="s">
        <x:v>91</x:v>
      </x:c>
      <x:c r="N18" s="14" t="s">
        <x:v>92</x:v>
      </x:c>
      <x:c r="O18" s="8" t="s">
        <x:v>581</x:v>
      </x:c>
      <x:c r="P18" s="8" t="s">
        <x:v>169</x:v>
      </x:c>
      <x:c r="Q18" s="22" t="s">
        <x:v>480</x:v>
      </x:c>
    </x:row>
    <x:row r="19" ht="112" customHeight="1">
      <x:c r="A19" s="13" t="s">
        <x:v>582</x:v>
      </x:c>
      <x:c r="B19" s="14" t="s">
        <x:v>34</x:v>
      </x:c>
      <x:c r="C19" s="14" t="s">
        <x:v>342</x:v>
      </x:c>
      <x:c r="D19" s="14">
        <x:v>3</x:v>
      </x:c>
      <x:c r="E19" s="8" t="s">
        <x:v>583</x:v>
      </x:c>
      <x:c r="F19" s="14" t="s">
        <x:v>358</x:v>
      </x:c>
      <x:c r="G19" s="8" t="s">
        <x:v>584</x:v>
      </x:c>
      <x:c r="H19" s="8" t="s">
        <x:v>585</x:v>
      </x:c>
      <x:c r="I19" s="8" t="s">
        <x:v>586</x:v>
      </x:c>
      <x:c r="J19" s="8" t="s">
        <x:v>587</x:v>
      </x:c>
      <x:c r="K19" s="14" t="s">
        <x:v>588</x:v>
      </x:c>
      <x:c r="L19" s="14" t="s">
        <x:v>36</x:v>
      </x:c>
      <x:c r="M19" s="14" t="s">
        <x:v>91</x:v>
      </x:c>
      <x:c r="N19" s="14" t="s">
        <x:v>102</x:v>
      </x:c>
      <x:c r="O19" s="8" t="s">
        <x:v>91</x:v>
      </x:c>
      <x:c r="P19" s="8" t="s">
        <x:v>589</x:v>
      </x:c>
      <x:c r="Q19" s="22" t="s">
        <x:v>480</x:v>
      </x:c>
    </x:row>
    <x:row r="20" ht="112" customHeight="1">
      <x:c r="A20" s="13" t="s">
        <x:v>590</x:v>
      </x:c>
      <x:c r="B20" s="14" t="s">
        <x:v>34</x:v>
      </x:c>
      <x:c r="C20" s="14" t="s">
        <x:v>342</x:v>
      </x:c>
      <x:c r="D20" s="14">
        <x:v>4</x:v>
      </x:c>
      <x:c r="E20" s="8" t="s">
        <x:v>591</x:v>
      </x:c>
      <x:c r="F20" s="14" t="s">
        <x:v>358</x:v>
      </x:c>
      <x:c r="G20" s="8" t="s">
        <x:v>592</x:v>
      </x:c>
      <x:c r="H20" s="8" t="s">
        <x:v>593</x:v>
      </x:c>
      <x:c r="I20" s="8" t="s">
        <x:v>594</x:v>
      </x:c>
      <x:c r="J20" s="8" t="s">
        <x:v>595</x:v>
      </x:c>
      <x:c r="K20" s="14" t="s">
        <x:v>532</x:v>
      </x:c>
      <x:c r="L20" s="14" t="s">
        <x:v>40</x:v>
      </x:c>
      <x:c r="M20" s="14" t="s">
        <x:v>91</x:v>
      </x:c>
      <x:c r="N20" s="14" t="s">
        <x:v>102</x:v>
      </x:c>
      <x:c r="O20" s="8" t="s">
        <x:v>91</x:v>
      </x:c>
      <x:c r="P20" s="8" t="s">
        <x:v>596</x:v>
      </x:c>
      <x:c r="Q20" s="22" t="s">
        <x:v>480</x:v>
      </x:c>
    </x:row>
    <x:row r="21" ht="112" customHeight="1">
      <x:c r="A21" s="13" t="s">
        <x:v>597</x:v>
      </x:c>
      <x:c r="B21" s="14" t="s">
        <x:v>34</x:v>
      </x:c>
      <x:c r="C21" s="14" t="s">
        <x:v>543</x:v>
      </x:c>
      <x:c r="D21" s="14">
        <x:v>5</x:v>
      </x:c>
      <x:c r="E21" s="8" t="s">
        <x:v>598</x:v>
      </x:c>
      <x:c r="F21" s="14" t="s">
        <x:v>358</x:v>
      </x:c>
      <x:c r="G21" s="8" t="s">
        <x:v>599</x:v>
      </x:c>
      <x:c r="H21" s="8" t="s">
        <x:v>600</x:v>
      </x:c>
      <x:c r="I21" s="8" t="s">
        <x:v>601</x:v>
      </x:c>
      <x:c r="J21" s="8" t="s">
        <x:v>602</x:v>
      </x:c>
      <x:c r="K21" s="14" t="s">
        <x:v>603</x:v>
      </x:c>
      <x:c r="L21" s="14" t="s">
        <x:v>35</x:v>
      </x:c>
      <x:c r="M21" s="14" t="s">
        <x:v>123</x:v>
      </x:c>
      <x:c r="N21" s="14" t="s">
        <x:v>550</x:v>
      </x:c>
      <x:c r="O21" s="8" t="s">
        <x:v>604</x:v>
      </x:c>
      <x:c r="P21" s="8" t="s">
        <x:v>371</x:v>
      </x:c>
      <x:c r="Q21" s="22" t="s">
        <x:v>605</x:v>
      </x:c>
    </x:row>
    <x:row r="22" ht="112" customHeight="1">
      <x:c r="A22" s="13" t="s">
        <x:v>606</x:v>
      </x:c>
      <x:c r="B22" s="14" t="s">
        <x:v>34</x:v>
      </x:c>
      <x:c r="C22" s="14" t="s">
        <x:v>342</x:v>
      </x:c>
      <x:c r="D22" s="14">
        <x:v>6</x:v>
      </x:c>
      <x:c r="E22" s="8" t="s">
        <x:v>564</x:v>
      </x:c>
      <x:c r="F22" s="14" t="s">
        <x:v>358</x:v>
      </x:c>
      <x:c r="G22" s="8" t="s">
        <x:v>607</x:v>
      </x:c>
      <x:c r="H22" s="8" t="s">
        <x:v>608</x:v>
      </x:c>
      <x:c r="I22" s="8" t="s">
        <x:v>609</x:v>
      </x:c>
      <x:c r="J22" s="8" t="s">
        <x:v>610</x:v>
      </x:c>
      <x:c r="K22" s="14" t="s">
        <x:v>123</x:v>
      </x:c>
      <x:c r="L22" s="14" t="s">
        <x:v>40</x:v>
      </x:c>
      <x:c r="M22" s="14" t="s">
        <x:v>131</x:v>
      </x:c>
      <x:c r="N22" s="14" t="s">
        <x:v>611</x:v>
      </x:c>
      <x:c r="O22" s="8" t="s">
        <x:v>612</x:v>
      </x:c>
      <x:c r="P22" s="8" t="s">
        <x:v>613</x:v>
      </x:c>
      <x:c r="Q22" s="22" t="s">
        <x:v>480</x:v>
      </x:c>
    </x:row>
    <x:row r="23" ht="112" customHeight="1">
      <x:c r="A23" s="13" t="s">
        <x:v>614</x:v>
      </x:c>
      <x:c r="B23" s="14" t="s">
        <x:v>35</x:v>
      </x:c>
      <x:c r="C23" s="14" t="s">
        <x:v>366</x:v>
      </x:c>
      <x:c r="D23" s="14">
        <x:v>1</x:v>
      </x:c>
      <x:c r="E23" s="8" t="s">
        <x:v>615</x:v>
      </x:c>
      <x:c r="F23" s="14" t="s">
        <x:v>365</x:v>
      </x:c>
      <x:c r="G23" s="8" t="s">
        <x:v>616</x:v>
      </x:c>
      <x:c r="H23" s="8" t="s">
        <x:v>617</x:v>
      </x:c>
      <x:c r="I23" s="8" t="s">
        <x:v>618</x:v>
      </x:c>
      <x:c r="J23" s="8" t="s">
        <x:v>619</x:v>
      </x:c>
      <x:c r="K23" s="14" t="s">
        <x:v>123</x:v>
      </x:c>
      <x:c r="L23" s="14" t="s">
        <x:v>40</x:v>
      </x:c>
      <x:c r="M23" s="14" t="s">
        <x:v>620</x:v>
      </x:c>
      <x:c r="N23" s="14" t="s">
        <x:v>550</x:v>
      </x:c>
      <x:c r="O23" s="8" t="s">
        <x:v>621</x:v>
      </x:c>
      <x:c r="P23" s="8" t="s">
        <x:v>622</x:v>
      </x:c>
      <x:c r="Q23" s="22" t="s">
        <x:v>623</x:v>
      </x:c>
    </x:row>
    <x:row r="24" ht="112" customHeight="1">
      <x:c r="A24" s="13" t="s">
        <x:v>624</x:v>
      </x:c>
      <x:c r="B24" s="14" t="s">
        <x:v>36</x:v>
      </x:c>
      <x:c r="C24" s="14" t="s">
        <x:v>342</x:v>
      </x:c>
      <x:c r="D24" s="14">
        <x:v>1</x:v>
      </x:c>
      <x:c r="E24" s="8" t="s">
        <x:v>473</x:v>
      </x:c>
      <x:c r="F24" s="14" t="s">
        <x:v>374</x:v>
      </x:c>
      <x:c r="G24" s="8" t="s">
        <x:v>625</x:v>
      </x:c>
      <x:c r="H24" s="8" t="s">
        <x:v>626</x:v>
      </x:c>
      <x:c r="I24" s="8" t="s">
        <x:v>627</x:v>
      </x:c>
      <x:c r="J24" s="8" t="s">
        <x:v>628</x:v>
      </x:c>
      <x:c r="K24" s="14" t="s">
        <x:v>123</x:v>
      </x:c>
      <x:c r="L24" s="14" t="s">
        <x:v>40</x:v>
      </x:c>
      <x:c r="M24" s="14" t="s">
        <x:v>91</x:v>
      </x:c>
      <x:c r="N24" s="14" t="s">
        <x:v>102</x:v>
      </x:c>
      <x:c r="O24" s="8" t="s">
        <x:v>91</x:v>
      </x:c>
      <x:c r="P24" s="8" t="s">
        <x:v>507</x:v>
      </x:c>
      <x:c r="Q24" s="22" t="s">
        <x:v>480</x:v>
      </x:c>
    </x:row>
    <x:row r="25" ht="112" customHeight="1">
      <x:c r="A25" s="13" t="s">
        <x:v>629</x:v>
      </x:c>
      <x:c r="B25" s="14" t="s">
        <x:v>36</x:v>
      </x:c>
      <x:c r="C25" s="14" t="s">
        <x:v>342</x:v>
      </x:c>
      <x:c r="D25" s="14">
        <x:v>2</x:v>
      </x:c>
      <x:c r="E25" s="8" t="s">
        <x:v>630</x:v>
      </x:c>
      <x:c r="F25" s="14" t="s">
        <x:v>374</x:v>
      </x:c>
      <x:c r="G25" s="8" t="s">
        <x:v>631</x:v>
      </x:c>
      <x:c r="H25" s="8" t="s">
        <x:v>632</x:v>
      </x:c>
      <x:c r="I25" s="8" t="s">
        <x:v>633</x:v>
      </x:c>
      <x:c r="J25" s="8" t="s">
        <x:v>634</x:v>
      </x:c>
      <x:c r="K25" s="14" t="s">
        <x:v>635</x:v>
      </x:c>
      <x:c r="L25" s="14" t="s">
        <x:v>40</x:v>
      </x:c>
      <x:c r="M25" s="14" t="s">
        <x:v>91</x:v>
      </x:c>
      <x:c r="N25" s="14" t="s">
        <x:v>102</x:v>
      </x:c>
      <x:c r="O25" s="8" t="s">
        <x:v>91</x:v>
      </x:c>
      <x:c r="P25" s="8" t="s">
        <x:v>636</x:v>
      </x:c>
      <x:c r="Q25" s="22" t="s">
        <x:v>480</x:v>
      </x:c>
    </x:row>
    <x:row r="26" ht="112" customHeight="1">
      <x:c r="A26" s="13" t="s">
        <x:v>637</x:v>
      </x:c>
      <x:c r="B26" s="14" t="s">
        <x:v>36</x:v>
      </x:c>
      <x:c r="C26" s="14" t="s">
        <x:v>342</x:v>
      </x:c>
      <x:c r="D26" s="14">
        <x:v>3</x:v>
      </x:c>
      <x:c r="E26" s="8" t="s">
        <x:v>638</x:v>
      </x:c>
      <x:c r="F26" s="14" t="s">
        <x:v>374</x:v>
      </x:c>
      <x:c r="G26" s="8" t="s">
        <x:v>500</x:v>
      </x:c>
      <x:c r="H26" s="8" t="s">
        <x:v>501</x:v>
      </x:c>
      <x:c r="I26" s="8" t="s">
        <x:v>639</x:v>
      </x:c>
      <x:c r="J26" s="8" t="s">
        <x:v>640</x:v>
      </x:c>
      <x:c r="K26" s="14" t="s">
        <x:v>641</x:v>
      </x:c>
      <x:c r="L26" s="14" t="s">
        <x:v>40</x:v>
      </x:c>
      <x:c r="M26" s="14" t="s">
        <x:v>91</x:v>
      </x:c>
      <x:c r="N26" s="14" t="s">
        <x:v>505</x:v>
      </x:c>
      <x:c r="O26" s="8" t="s">
        <x:v>642</x:v>
      </x:c>
      <x:c r="P26" s="8" t="s">
        <x:v>507</x:v>
      </x:c>
      <x:c r="Q26" s="22" t="s">
        <x:v>480</x:v>
      </x:c>
    </x:row>
    <x:row r="27" ht="112" customHeight="1">
      <x:c r="A27" s="13" t="s">
        <x:v>643</x:v>
      </x:c>
      <x:c r="B27" s="14" t="s">
        <x:v>36</x:v>
      </x:c>
      <x:c r="C27" s="14" t="s">
        <x:v>342</x:v>
      </x:c>
      <x:c r="D27" s="14">
        <x:v>4</x:v>
      </x:c>
      <x:c r="E27" s="8" t="s">
        <x:v>638</x:v>
      </x:c>
      <x:c r="F27" s="14" t="s">
        <x:v>374</x:v>
      </x:c>
      <x:c r="G27" s="8" t="s">
        <x:v>509</x:v>
      </x:c>
      <x:c r="H27" s="8" t="s">
        <x:v>644</x:v>
      </x:c>
      <x:c r="I27" s="8" t="s">
        <x:v>645</x:v>
      </x:c>
      <x:c r="J27" s="8" t="s">
        <x:v>646</x:v>
      </x:c>
      <x:c r="K27" s="14" t="s">
        <x:v>641</x:v>
      </x:c>
      <x:c r="L27" s="14" t="s">
        <x:v>40</x:v>
      </x:c>
      <x:c r="M27" s="14" t="s">
        <x:v>91</x:v>
      </x:c>
      <x:c r="N27" s="14" t="s">
        <x:v>505</x:v>
      </x:c>
      <x:c r="O27" s="8" t="s">
        <x:v>647</x:v>
      </x:c>
      <x:c r="P27" s="8" t="s">
        <x:v>507</x:v>
      </x:c>
      <x:c r="Q27" s="22" t="s">
        <x:v>480</x:v>
      </x:c>
    </x:row>
    <x:row r="28" ht="112" customHeight="1">
      <x:c r="A28" s="13" t="s">
        <x:v>648</x:v>
      </x:c>
      <x:c r="B28" s="14" t="s">
        <x:v>36</x:v>
      </x:c>
      <x:c r="C28" s="14" t="s">
        <x:v>342</x:v>
      </x:c>
      <x:c r="D28" s="14">
        <x:v>5</x:v>
      </x:c>
      <x:c r="E28" s="8" t="s">
        <x:v>638</x:v>
      </x:c>
      <x:c r="F28" s="14" t="s">
        <x:v>374</x:v>
      </x:c>
      <x:c r="G28" s="8" t="s">
        <x:v>515</x:v>
      </x:c>
      <x:c r="H28" s="8" t="s">
        <x:v>649</x:v>
      </x:c>
      <x:c r="I28" s="8" t="s">
        <x:v>650</x:v>
      </x:c>
      <x:c r="J28" s="8" t="s">
        <x:v>651</x:v>
      </x:c>
      <x:c r="K28" s="14" t="s">
        <x:v>641</x:v>
      </x:c>
      <x:c r="L28" s="14" t="s">
        <x:v>40</x:v>
      </x:c>
      <x:c r="M28" s="14" t="s">
        <x:v>91</x:v>
      </x:c>
      <x:c r="N28" s="14" t="s">
        <x:v>505</x:v>
      </x:c>
      <x:c r="O28" s="8" t="s">
        <x:v>652</x:v>
      </x:c>
      <x:c r="P28" s="8" t="s">
        <x:v>507</x:v>
      </x:c>
      <x:c r="Q28" s="22" t="s">
        <x:v>480</x:v>
      </x:c>
    </x:row>
    <x:row r="29" ht="112" customHeight="1">
      <x:c r="A29" s="13" t="s">
        <x:v>653</x:v>
      </x:c>
      <x:c r="B29" s="14" t="s">
        <x:v>36</x:v>
      </x:c>
      <x:c r="C29" s="14" t="s">
        <x:v>342</x:v>
      </x:c>
      <x:c r="D29" s="14">
        <x:v>6</x:v>
      </x:c>
      <x:c r="E29" s="8" t="s">
        <x:v>638</x:v>
      </x:c>
      <x:c r="F29" s="14" t="s">
        <x:v>374</x:v>
      </x:c>
      <x:c r="G29" s="8" t="s">
        <x:v>521</x:v>
      </x:c>
      <x:c r="H29" s="8" t="s">
        <x:v>654</x:v>
      </x:c>
      <x:c r="I29" s="8" t="s">
        <x:v>655</x:v>
      </x:c>
      <x:c r="J29" s="8" t="s">
        <x:v>656</x:v>
      </x:c>
      <x:c r="K29" s="14" t="s">
        <x:v>641</x:v>
      </x:c>
      <x:c r="L29" s="14" t="s">
        <x:v>40</x:v>
      </x:c>
      <x:c r="M29" s="14" t="s">
        <x:v>91</x:v>
      </x:c>
      <x:c r="N29" s="14" t="s">
        <x:v>505</x:v>
      </x:c>
      <x:c r="O29" s="8" t="s">
        <x:v>525</x:v>
      </x:c>
      <x:c r="P29" s="8" t="s">
        <x:v>507</x:v>
      </x:c>
      <x:c r="Q29" s="22" t="s">
        <x:v>480</x:v>
      </x:c>
    </x:row>
    <x:row r="30" ht="112" customHeight="1">
      <x:c r="A30" s="13" t="s">
        <x:v>657</x:v>
      </x:c>
      <x:c r="B30" s="14" t="s">
        <x:v>36</x:v>
      </x:c>
      <x:c r="C30" s="14" t="s">
        <x:v>342</x:v>
      </x:c>
      <x:c r="D30" s="14">
        <x:v>7</x:v>
      </x:c>
      <x:c r="E30" s="8" t="s">
        <x:v>658</x:v>
      </x:c>
      <x:c r="F30" s="14" t="s">
        <x:v>374</x:v>
      </x:c>
      <x:c r="G30" s="8" t="s">
        <x:v>659</x:v>
      </x:c>
      <x:c r="H30" s="8" t="s">
        <x:v>660</x:v>
      </x:c>
      <x:c r="I30" s="8" t="s">
        <x:v>661</x:v>
      </x:c>
      <x:c r="J30" s="8" t="s">
        <x:v>662</x:v>
      </x:c>
      <x:c r="K30" s="14" t="s">
        <x:v>663</x:v>
      </x:c>
      <x:c r="L30" s="14" t="s">
        <x:v>40</x:v>
      </x:c>
      <x:c r="M30" s="14" t="s">
        <x:v>91</x:v>
      </x:c>
      <x:c r="N30" s="14" t="s">
        <x:v>102</x:v>
      </x:c>
      <x:c r="O30" s="8" t="s">
        <x:v>91</x:v>
      </x:c>
      <x:c r="P30" s="8" t="s">
        <x:v>613</x:v>
      </x:c>
      <x:c r="Q30" s="22" t="s">
        <x:v>480</x:v>
      </x:c>
    </x:row>
    <x:row r="31" ht="112" customHeight="1">
      <x:c r="A31" s="13" t="s">
        <x:v>664</x:v>
      </x:c>
      <x:c r="B31" s="14" t="s">
        <x:v>36</x:v>
      </x:c>
      <x:c r="C31" s="14" t="s">
        <x:v>342</x:v>
      </x:c>
      <x:c r="D31" s="14">
        <x:v>8</x:v>
      </x:c>
      <x:c r="E31" s="8" t="s">
        <x:v>665</x:v>
      </x:c>
      <x:c r="F31" s="14" t="s">
        <x:v>374</x:v>
      </x:c>
      <x:c r="G31" s="8" t="s">
        <x:v>666</x:v>
      </x:c>
      <x:c r="H31" s="8" t="s">
        <x:v>667</x:v>
      </x:c>
      <x:c r="I31" s="8" t="s">
        <x:v>668</x:v>
      </x:c>
      <x:c r="J31" s="8" t="s">
        <x:v>669</x:v>
      </x:c>
      <x:c r="K31" s="14" t="s">
        <x:v>670</x:v>
      </x:c>
      <x:c r="L31" s="14" t="s">
        <x:v>40</x:v>
      </x:c>
      <x:c r="M31" s="14" t="s">
        <x:v>91</x:v>
      </x:c>
      <x:c r="N31" s="14" t="s">
        <x:v>611</x:v>
      </x:c>
      <x:c r="O31" s="8" t="s">
        <x:v>671</x:v>
      </x:c>
      <x:c r="P31" s="8" t="s">
        <x:v>672</x:v>
      </x:c>
      <x:c r="Q31" s="22" t="s">
        <x:v>480</x:v>
      </x:c>
    </x:row>
    <x:row r="32" ht="112" customHeight="1">
      <x:c r="A32" s="13" t="s">
        <x:v>673</x:v>
      </x:c>
      <x:c r="B32" s="14" t="s">
        <x:v>37</x:v>
      </x:c>
      <x:c r="C32" s="14" t="s">
        <x:v>383</x:v>
      </x:c>
      <x:c r="D32" s="14">
        <x:v>1</x:v>
      </x:c>
      <x:c r="E32" s="8" t="s">
        <x:v>473</x:v>
      </x:c>
      <x:c r="F32" s="14" t="s">
        <x:v>382</x:v>
      </x:c>
      <x:c r="G32" s="8" t="s">
        <x:v>674</x:v>
      </x:c>
      <x:c r="H32" s="8" t="s">
        <x:v>675</x:v>
      </x:c>
      <x:c r="I32" s="8" t="s">
        <x:v>676</x:v>
      </x:c>
      <x:c r="J32" s="8" t="s">
        <x:v>677</x:v>
      </x:c>
      <x:c r="K32" s="14" t="s">
        <x:v>123</x:v>
      </x:c>
      <x:c r="L32" s="14" t="s">
        <x:v>40</x:v>
      </x:c>
      <x:c r="M32" s="14" t="s">
        <x:v>91</x:v>
      </x:c>
      <x:c r="N32" s="14" t="s">
        <x:v>550</x:v>
      </x:c>
      <x:c r="O32" s="8" t="s">
        <x:v>678</x:v>
      </x:c>
      <x:c r="P32" s="8" t="s">
        <x:v>622</x:v>
      </x:c>
      <x:c r="Q32" s="22" t="s">
        <x:v>679</x:v>
      </x:c>
    </x:row>
    <x:row r="33" ht="112" customHeight="1">
      <x:c r="A33" s="13" t="s">
        <x:v>680</x:v>
      </x:c>
      <x:c r="B33" s="14" t="s">
        <x:v>37</x:v>
      </x:c>
      <x:c r="C33" s="14" t="s">
        <x:v>383</x:v>
      </x:c>
      <x:c r="D33" s="14">
        <x:v>2</x:v>
      </x:c>
      <x:c r="E33" s="8" t="s">
        <x:v>681</x:v>
      </x:c>
      <x:c r="F33" s="14" t="s">
        <x:v>382</x:v>
      </x:c>
      <x:c r="G33" s="8" t="s">
        <x:v>682</x:v>
      </x:c>
      <x:c r="H33" s="8" t="s">
        <x:v>683</x:v>
      </x:c>
      <x:c r="I33" s="8" t="s">
        <x:v>684</x:v>
      </x:c>
      <x:c r="J33" s="8" t="s">
        <x:v>685</x:v>
      </x:c>
      <x:c r="K33" s="14" t="s">
        <x:v>686</x:v>
      </x:c>
      <x:c r="L33" s="14" t="s">
        <x:v>40</x:v>
      </x:c>
      <x:c r="M33" s="14" t="s">
        <x:v>91</x:v>
      </x:c>
      <x:c r="N33" s="14" t="s">
        <x:v>550</x:v>
      </x:c>
      <x:c r="O33" s="8" t="s">
        <x:v>687</x:v>
      </x:c>
      <x:c r="P33" s="8" t="s">
        <x:v>622</x:v>
      </x:c>
      <x:c r="Q33" s="22" t="s">
        <x:v>688</x:v>
      </x:c>
    </x:row>
    <x:row r="34" ht="112" customHeight="1">
      <x:c r="A34" s="13" t="s">
        <x:v>689</x:v>
      </x:c>
      <x:c r="B34" s="14" t="s">
        <x:v>38</x:v>
      </x:c>
      <x:c r="C34" s="14" t="s">
        <x:v>391</x:v>
      </x:c>
      <x:c r="D34" s="14">
        <x:v>1</x:v>
      </x:c>
      <x:c r="E34" s="8" t="s">
        <x:v>473</x:v>
      </x:c>
      <x:c r="F34" s="14" t="s">
        <x:v>390</x:v>
      </x:c>
      <x:c r="G34" s="8" t="s">
        <x:v>690</x:v>
      </x:c>
      <x:c r="H34" s="8" t="s">
        <x:v>691</x:v>
      </x:c>
      <x:c r="I34" s="8" t="s">
        <x:v>692</x:v>
      </x:c>
      <x:c r="J34" s="8" t="s">
        <x:v>693</x:v>
      </x:c>
      <x:c r="K34" s="14" t="s">
        <x:v>694</x:v>
      </x:c>
      <x:c r="L34" s="14" t="s">
        <x:v>40</x:v>
      </x:c>
      <x:c r="M34" s="14" t="s">
        <x:v>91</x:v>
      </x:c>
      <x:c r="N34" s="14" t="s">
        <x:v>695</x:v>
      </x:c>
      <x:c r="O34" s="8" t="s">
        <x:v>696</x:v>
      </x:c>
      <x:c r="P34" s="8" t="s">
        <x:v>396</x:v>
      </x:c>
      <x:c r="Q34" s="22" t="s">
        <x:v>480</x:v>
      </x:c>
    </x:row>
    <x:row r="35" ht="112" customHeight="1">
      <x:c r="A35" s="13" t="s">
        <x:v>697</x:v>
      </x:c>
      <x:c r="B35" s="14" t="s">
        <x:v>38</x:v>
      </x:c>
      <x:c r="C35" s="14" t="s">
        <x:v>391</x:v>
      </x:c>
      <x:c r="D35" s="14">
        <x:v>2</x:v>
      </x:c>
      <x:c r="E35" s="8" t="s">
        <x:v>698</x:v>
      </x:c>
      <x:c r="F35" s="14" t="s">
        <x:v>390</x:v>
      </x:c>
      <x:c r="G35" s="8" t="s">
        <x:v>699</x:v>
      </x:c>
      <x:c r="H35" s="8" t="s">
        <x:v>700</x:v>
      </x:c>
      <x:c r="I35" s="8" t="s">
        <x:v>701</x:v>
      </x:c>
      <x:c r="J35" s="8" t="s">
        <x:v>702</x:v>
      </x:c>
      <x:c r="K35" s="14" t="s">
        <x:v>144</x:v>
      </x:c>
      <x:c r="L35" s="14" t="s">
        <x:v>39</x:v>
      </x:c>
      <x:c r="M35" s="14" t="s">
        <x:v>91</x:v>
      </x:c>
      <x:c r="N35" s="14" t="s">
        <x:v>703</x:v>
      </x:c>
      <x:c r="O35" s="8" t="s">
        <x:v>704</x:v>
      </x:c>
      <x:c r="P35" s="8" t="s">
        <x:v>396</x:v>
      </x:c>
      <x:c r="Q35" s="22" t="s">
        <x:v>705</x:v>
      </x:c>
    </x:row>
    <x:row r="36" ht="112" customHeight="1">
      <x:c r="A36" s="13" t="s">
        <x:v>706</x:v>
      </x:c>
      <x:c r="B36" s="14" t="s">
        <x:v>39</x:v>
      </x:c>
      <x:c r="C36" s="14" t="s">
        <x:v>391</x:v>
      </x:c>
      <x:c r="D36" s="14">
        <x:v>1</x:v>
      </x:c>
      <x:c r="E36" s="8" t="s">
        <x:v>707</x:v>
      </x:c>
      <x:c r="F36" s="14" t="s">
        <x:v>398</x:v>
      </x:c>
      <x:c r="G36" s="8" t="s">
        <x:v>699</x:v>
      </x:c>
      <x:c r="H36" s="8" t="s">
        <x:v>708</x:v>
      </x:c>
      <x:c r="I36" s="8" t="s">
        <x:v>709</x:v>
      </x:c>
      <x:c r="J36" s="8" t="s">
        <x:v>710</x:v>
      </x:c>
      <x:c r="K36" s="14" t="s">
        <x:v>711</x:v>
      </x:c>
      <x:c r="L36" s="14" t="s">
        <x:v>40</x:v>
      </x:c>
      <x:c r="M36" s="14" t="s">
        <x:v>712</x:v>
      </x:c>
      <x:c r="N36" s="14" t="s">
        <x:v>703</x:v>
      </x:c>
      <x:c r="O36" s="8" t="s">
        <x:v>713</x:v>
      </x:c>
      <x:c r="P36" s="8" t="s">
        <x:v>396</x:v>
      </x:c>
      <x:c r="Q36" s="22" t="s">
        <x:v>705</x:v>
      </x:c>
    </x:row>
    <x:row r="37" ht="112" customHeight="1">
      <x:c r="A37" s="13" t="s">
        <x:v>714</x:v>
      </x:c>
      <x:c r="B37" s="14" t="s">
        <x:v>40</x:v>
      </x:c>
      <x:c r="C37" s="14" t="s">
        <x:v>342</x:v>
      </x:c>
      <x:c r="D37" s="14">
        <x:v>1</x:v>
      </x:c>
      <x:c r="E37" s="8" t="s">
        <x:v>473</x:v>
      </x:c>
      <x:c r="F37" s="14" t="s">
        <x:v>406</x:v>
      </x:c>
      <x:c r="G37" s="8" t="s">
        <x:v>715</x:v>
      </x:c>
      <x:c r="H37" s="8" t="s">
        <x:v>716</x:v>
      </x:c>
      <x:c r="I37" s="8" t="s">
        <x:v>717</x:v>
      </x:c>
      <x:c r="J37" s="8" t="s">
        <x:v>718</x:v>
      </x:c>
      <x:c r="K37" s="14" t="s">
        <x:v>137</x:v>
      </x:c>
      <x:c r="L37" s="14" t="s">
        <x:v>719</x:v>
      </x:c>
      <x:c r="M37" s="14" t="s">
        <x:v>91</x:v>
      </x:c>
      <x:c r="N37" s="14" t="s">
        <x:v>102</x:v>
      </x:c>
      <x:c r="O37" s="8" t="s">
        <x:v>91</x:v>
      </x:c>
      <x:c r="P37" s="8" t="s">
        <x:v>720</x:v>
      </x:c>
      <x:c r="Q37" s="22" t="s">
        <x:v>480</x:v>
      </x:c>
    </x:row>
    <x:row r="38" ht="112" customHeight="1">
      <x:c r="A38" s="13" t="s">
        <x:v>721</x:v>
      </x:c>
      <x:c r="B38" s="14" t="s">
        <x:v>40</x:v>
      </x:c>
      <x:c r="C38" s="14" t="s">
        <x:v>342</x:v>
      </x:c>
      <x:c r="D38" s="14">
        <x:v>2</x:v>
      </x:c>
      <x:c r="E38" s="8" t="s">
        <x:v>722</x:v>
      </x:c>
      <x:c r="F38" s="14" t="s">
        <x:v>406</x:v>
      </x:c>
      <x:c r="G38" s="8" t="s">
        <x:v>723</x:v>
      </x:c>
      <x:c r="H38" s="8" t="s">
        <x:v>724</x:v>
      </x:c>
      <x:c r="I38" s="8" t="s">
        <x:v>725</x:v>
      </x:c>
      <x:c r="J38" s="8" t="s">
        <x:v>726</x:v>
      </x:c>
      <x:c r="K38" s="14" t="s">
        <x:v>727</x:v>
      </x:c>
      <x:c r="L38" s="14" t="s">
        <x:v>139</x:v>
      </x:c>
      <x:c r="M38" s="14" t="s">
        <x:v>91</x:v>
      </x:c>
      <x:c r="N38" s="14" t="s">
        <x:v>102</x:v>
      </x:c>
      <x:c r="O38" s="8" t="s">
        <x:v>91</x:v>
      </x:c>
      <x:c r="P38" s="8" t="s">
        <x:v>613</x:v>
      </x:c>
      <x:c r="Q38" s="22" t="s">
        <x:v>480</x:v>
      </x:c>
    </x:row>
    <x:row r="39" ht="112" customHeight="1">
      <x:c r="A39" s="13" t="s">
        <x:v>728</x:v>
      </x:c>
      <x:c r="B39" s="14" t="s">
        <x:v>40</x:v>
      </x:c>
      <x:c r="C39" s="14" t="s">
        <x:v>342</x:v>
      </x:c>
      <x:c r="D39" s="14">
        <x:v>3</x:v>
      </x:c>
      <x:c r="E39" s="8" t="s">
        <x:v>729</x:v>
      </x:c>
      <x:c r="F39" s="14" t="s">
        <x:v>406</x:v>
      </x:c>
      <x:c r="G39" s="8" t="s">
        <x:v>730</x:v>
      </x:c>
      <x:c r="H39" s="8" t="s">
        <x:v>731</x:v>
      </x:c>
      <x:c r="I39" s="8" t="s">
        <x:v>732</x:v>
      </x:c>
      <x:c r="J39" s="8" t="s">
        <x:v>733</x:v>
      </x:c>
      <x:c r="K39" s="14" t="s">
        <x:v>123</x:v>
      </x:c>
      <x:c r="L39" s="14" t="s">
        <x:v>719</x:v>
      </x:c>
      <x:c r="M39" s="14" t="s">
        <x:v>91</x:v>
      </x:c>
      <x:c r="N39" s="14" t="s">
        <x:v>734</x:v>
      </x:c>
      <x:c r="O39" s="8" t="s">
        <x:v>735</x:v>
      </x:c>
      <x:c r="P39" s="8" t="s">
        <x:v>736</x:v>
      </x:c>
      <x:c r="Q39" s="22" t="s">
        <x:v>480</x:v>
      </x:c>
    </x:row>
    <x:row r="40" ht="112" customHeight="1">
      <x:c r="A40" s="13" t="s">
        <x:v>737</x:v>
      </x:c>
      <x:c r="B40" s="14" t="s">
        <x:v>40</x:v>
      </x:c>
      <x:c r="C40" s="14" t="s">
        <x:v>342</x:v>
      </x:c>
      <x:c r="D40" s="14">
        <x:v>4</x:v>
      </x:c>
      <x:c r="E40" s="8" t="s">
        <x:v>738</x:v>
      </x:c>
      <x:c r="F40" s="14" t="s">
        <x:v>406</x:v>
      </x:c>
      <x:c r="G40" s="8" t="s">
        <x:v>739</x:v>
      </x:c>
      <x:c r="H40" s="8" t="s">
        <x:v>740</x:v>
      </x:c>
      <x:c r="I40" s="8" t="s">
        <x:v>256</x:v>
      </x:c>
      <x:c r="J40" s="8" t="s">
        <x:v>741</x:v>
      </x:c>
      <x:c r="K40" s="14" t="s">
        <x:v>742</x:v>
      </x:c>
      <x:c r="L40" s="14" t="s">
        <x:v>139</x:v>
      </x:c>
      <x:c r="M40" s="14" t="s">
        <x:v>91</x:v>
      </x:c>
      <x:c r="N40" s="14" t="s">
        <x:v>102</x:v>
      </x:c>
      <x:c r="O40" s="8" t="s">
        <x:v>91</x:v>
      </x:c>
      <x:c r="P40" s="8" t="s">
        <x:v>613</x:v>
      </x:c>
      <x:c r="Q40" s="22" t="s">
        <x:v>480</x:v>
      </x:c>
    </x:row>
    <x:row r="41" ht="112" customHeight="1">
      <x:c r="A41" s="13" t="s">
        <x:v>743</x:v>
      </x:c>
      <x:c r="B41" s="14" t="s">
        <x:v>40</x:v>
      </x:c>
      <x:c r="C41" s="14" t="s">
        <x:v>342</x:v>
      </x:c>
      <x:c r="D41" s="14">
        <x:v>5</x:v>
      </x:c>
      <x:c r="E41" s="8" t="s">
        <x:v>744</x:v>
      </x:c>
      <x:c r="F41" s="14" t="s">
        <x:v>406</x:v>
      </x:c>
      <x:c r="G41" s="8" t="s">
        <x:v>745</x:v>
      </x:c>
      <x:c r="H41" s="8" t="s">
        <x:v>746</x:v>
      </x:c>
      <x:c r="I41" s="8" t="s">
        <x:v>747</x:v>
      </x:c>
      <x:c r="J41" s="8" t="s">
        <x:v>748</x:v>
      </x:c>
      <x:c r="K41" s="14" t="s">
        <x:v>91</x:v>
      </x:c>
      <x:c r="L41" s="14" t="s">
        <x:v>91</x:v>
      </x:c>
      <x:c r="M41" s="14" t="s">
        <x:v>91</x:v>
      </x:c>
      <x:c r="N41" s="14" t="s">
        <x:v>199</x:v>
      </x:c>
      <x:c r="O41" s="8" t="s">
        <x:v>749</x:v>
      </x:c>
      <x:c r="P41" s="8" t="s">
        <x:v>201</x:v>
      </x:c>
      <x:c r="Q41" s="22" t="s">
        <x:v>750</x:v>
      </x:c>
    </x:row>
    <x:row r="42" ht="112" customHeight="1">
      <x:c r="A42" s="13" t="s">
        <x:v>751</x:v>
      </x:c>
      <x:c r="B42" s="14" t="s">
        <x:v>414</x:v>
      </x:c>
      <x:c r="C42" s="14" t="s">
        <x:v>415</x:v>
      </x:c>
      <x:c r="D42" s="14">
        <x:v>1</x:v>
      </x:c>
      <x:c r="E42" s="8" t="s">
        <x:v>752</x:v>
      </x:c>
      <x:c r="F42" s="14" t="s">
        <x:v>413</x:v>
      </x:c>
      <x:c r="G42" s="8" t="s">
        <x:v>753</x:v>
      </x:c>
      <x:c r="H42" s="8" t="s">
        <x:v>754</x:v>
      </x:c>
      <x:c r="I42" s="8" t="s">
        <x:v>755</x:v>
      </x:c>
      <x:c r="J42" s="8" t="s">
        <x:v>756</x:v>
      </x:c>
      <x:c r="K42" s="14" t="s">
        <x:v>670</x:v>
      </x:c>
      <x:c r="L42" s="14" t="s">
        <x:v>40</x:v>
      </x:c>
      <x:c r="M42" s="14" t="s">
        <x:v>757</x:v>
      </x:c>
      <x:c r="N42" s="14" t="s">
        <x:v>758</x:v>
      </x:c>
      <x:c r="O42" s="8" t="s">
        <x:v>759</x:v>
      </x:c>
      <x:c r="P42" s="8" t="s">
        <x:v>760</x:v>
      </x:c>
      <x:c r="Q42" s="22" t="s">
        <x:v>761</x:v>
      </x:c>
    </x:row>
    <x:row r="43" ht="112" customHeight="1">
      <x:c r="A43" s="13" t="s">
        <x:v>762</x:v>
      </x:c>
      <x:c r="B43" s="14" t="s">
        <x:v>422</x:v>
      </x:c>
      <x:c r="C43" s="14" t="s">
        <x:v>415</x:v>
      </x:c>
      <x:c r="D43" s="14">
        <x:v>1</x:v>
      </x:c>
      <x:c r="E43" s="8" t="s">
        <x:v>752</x:v>
      </x:c>
      <x:c r="F43" s="14" t="s">
        <x:v>421</x:v>
      </x:c>
      <x:c r="G43" s="8" t="s">
        <x:v>763</x:v>
      </x:c>
      <x:c r="H43" s="8" t="s">
        <x:v>764</x:v>
      </x:c>
      <x:c r="I43" s="8" t="s">
        <x:v>765</x:v>
      </x:c>
      <x:c r="J43" s="8" t="s">
        <x:v>766</x:v>
      </x:c>
      <x:c r="K43" s="14" t="s">
        <x:v>670</x:v>
      </x:c>
      <x:c r="L43" s="14" t="s">
        <x:v>40</x:v>
      </x:c>
      <x:c r="M43" s="14" t="s">
        <x:v>757</x:v>
      </x:c>
      <x:c r="N43" s="14" t="s">
        <x:v>758</x:v>
      </x:c>
      <x:c r="O43" s="8" t="s">
        <x:v>767</x:v>
      </x:c>
      <x:c r="P43" s="8" t="s">
        <x:v>760</x:v>
      </x:c>
      <x:c r="Q43" s="22" t="s">
        <x:v>761</x:v>
      </x:c>
    </x:row>
    <x:row r="44" ht="112" customHeight="1">
      <x:c r="A44" s="13" t="s">
        <x:v>768</x:v>
      </x:c>
      <x:c r="B44" s="14" t="s">
        <x:v>429</x:v>
      </x:c>
      <x:c r="C44" s="14" t="s">
        <x:v>415</x:v>
      </x:c>
      <x:c r="D44" s="14">
        <x:v>1</x:v>
      </x:c>
      <x:c r="E44" s="8" t="s">
        <x:v>752</x:v>
      </x:c>
      <x:c r="F44" s="14" t="s">
        <x:v>428</x:v>
      </x:c>
      <x:c r="G44" s="8" t="s">
        <x:v>769</x:v>
      </x:c>
      <x:c r="H44" s="8" t="s">
        <x:v>770</x:v>
      </x:c>
      <x:c r="I44" s="8" t="s">
        <x:v>771</x:v>
      </x:c>
      <x:c r="J44" s="8" t="s">
        <x:v>772</x:v>
      </x:c>
      <x:c r="K44" s="14" t="s">
        <x:v>670</x:v>
      </x:c>
      <x:c r="L44" s="14" t="s">
        <x:v>40</x:v>
      </x:c>
      <x:c r="M44" s="14" t="s">
        <x:v>757</x:v>
      </x:c>
      <x:c r="N44" s="14" t="s">
        <x:v>758</x:v>
      </x:c>
      <x:c r="O44" s="8" t="s">
        <x:v>773</x:v>
      </x:c>
      <x:c r="P44" s="8" t="s">
        <x:v>760</x:v>
      </x:c>
      <x:c r="Q44" s="22" t="s">
        <x:v>761</x:v>
      </x:c>
    </x:row>
    <x:row r="45" ht="112" customHeight="1">
      <x:c r="A45" s="13" t="s">
        <x:v>774</x:v>
      </x:c>
      <x:c r="B45" s="14" t="s">
        <x:v>435</x:v>
      </x:c>
      <x:c r="C45" s="14" t="s">
        <x:v>415</x:v>
      </x:c>
      <x:c r="D45" s="14">
        <x:v>1</x:v>
      </x:c>
      <x:c r="E45" s="8" t="s">
        <x:v>752</x:v>
      </x:c>
      <x:c r="F45" s="14" t="s">
        <x:v>434</x:v>
      </x:c>
      <x:c r="G45" s="8" t="s">
        <x:v>775</x:v>
      </x:c>
      <x:c r="H45" s="8" t="s">
        <x:v>776</x:v>
      </x:c>
      <x:c r="I45" s="8" t="s">
        <x:v>777</x:v>
      </x:c>
      <x:c r="J45" s="8" t="s">
        <x:v>778</x:v>
      </x:c>
      <x:c r="K45" s="14" t="s">
        <x:v>670</x:v>
      </x:c>
      <x:c r="L45" s="14" t="s">
        <x:v>40</x:v>
      </x:c>
      <x:c r="M45" s="14" t="s">
        <x:v>757</x:v>
      </x:c>
      <x:c r="N45" s="14" t="s">
        <x:v>758</x:v>
      </x:c>
      <x:c r="O45" s="8" t="s">
        <x:v>779</x:v>
      </x:c>
      <x:c r="P45" s="8" t="s">
        <x:v>760</x:v>
      </x:c>
      <x:c r="Q45" s="22" t="s">
        <x:v>761</x:v>
      </x:c>
    </x:row>
    <x:row r="46" ht="112" customHeight="1">
      <x:c r="A46" s="13" t="s">
        <x:v>780</x:v>
      </x:c>
      <x:c r="B46" s="14" t="s">
        <x:v>42</x:v>
      </x:c>
      <x:c r="C46" s="14" t="s">
        <x:v>415</x:v>
      </x:c>
      <x:c r="D46" s="14">
        <x:v>1</x:v>
      </x:c>
      <x:c r="E46" s="8" t="s">
        <x:v>781</x:v>
      </x:c>
      <x:c r="F46" s="14" t="s">
        <x:v>440</x:v>
      </x:c>
      <x:c r="G46" s="8" t="s">
        <x:v>782</x:v>
      </x:c>
      <x:c r="H46" s="8" t="s">
        <x:v>783</x:v>
      </x:c>
      <x:c r="I46" s="8" t="s">
        <x:v>784</x:v>
      </x:c>
      <x:c r="J46" s="8" t="s">
        <x:v>785</x:v>
      </x:c>
      <x:c r="K46" s="14" t="s">
        <x:v>786</x:v>
      </x:c>
      <x:c r="L46" s="14" t="s">
        <x:v>40</x:v>
      </x:c>
      <x:c r="M46" s="14" t="s">
        <x:v>131</x:v>
      </x:c>
      <x:c r="N46" s="14" t="s">
        <x:v>787</x:v>
      </x:c>
      <x:c r="O46" s="8" t="s">
        <x:v>788</x:v>
      </x:c>
      <x:c r="P46" s="8" t="s">
        <x:v>789</x:v>
      </x:c>
      <x:c r="Q46" s="22" t="s">
        <x:v>705</x:v>
      </x:c>
    </x:row>
    <x:row r="47" ht="112" customHeight="1">
      <x:c r="A47" s="13" t="s">
        <x:v>790</x:v>
      </x:c>
      <x:c r="B47" s="14" t="s">
        <x:v>43</x:v>
      </x:c>
      <x:c r="C47" s="14" t="s">
        <x:v>448</x:v>
      </x:c>
      <x:c r="D47" s="14">
        <x:v>1</x:v>
      </x:c>
      <x:c r="E47" s="8" t="s">
        <x:v>791</x:v>
      </x:c>
      <x:c r="F47" s="14" t="s">
        <x:v>447</x:v>
      </x:c>
      <x:c r="G47" s="8" t="s">
        <x:v>792</x:v>
      </x:c>
      <x:c r="H47" s="8" t="s">
        <x:v>793</x:v>
      </x:c>
      <x:c r="I47" s="8" t="s">
        <x:v>794</x:v>
      </x:c>
      <x:c r="J47" s="8" t="s">
        <x:v>795</x:v>
      </x:c>
      <x:c r="K47" s="14" t="s">
        <x:v>91</x:v>
      </x:c>
      <x:c r="L47" s="14" t="s">
        <x:v>91</x:v>
      </x:c>
      <x:c r="M47" s="14" t="s">
        <x:v>91</x:v>
      </x:c>
      <x:c r="N47" s="14" t="s">
        <x:v>796</x:v>
      </x:c>
      <x:c r="O47" s="8" t="s">
        <x:v>797</x:v>
      </x:c>
      <x:c r="P47" s="8" t="s">
        <x:v>798</x:v>
      </x:c>
      <x:c r="Q47" s="22" t="s">
        <x:v>799</x:v>
      </x:c>
    </x:row>
    <x:row r="48" ht="112" customHeight="1">
      <x:c r="A48" s="15" t="s">
        <x:v>800</x:v>
      </x:c>
      <x:c r="B48" s="16" t="s">
        <x:v>44</x:v>
      </x:c>
      <x:c r="C48" s="16" t="s">
        <x:v>448</x:v>
      </x:c>
      <x:c r="D48" s="16">
        <x:v>1</x:v>
      </x:c>
      <x:c r="E48" s="11" t="s">
        <x:v>801</x:v>
      </x:c>
      <x:c r="F48" s="16" t="s">
        <x:v>454</x:v>
      </x:c>
      <x:c r="G48" s="11" t="s">
        <x:v>802</x:v>
      </x:c>
      <x:c r="H48" s="11" t="s">
        <x:v>803</x:v>
      </x:c>
      <x:c r="I48" s="11" t="s">
        <x:v>804</x:v>
      </x:c>
      <x:c r="J48" s="11" t="s">
        <x:v>805</x:v>
      </x:c>
      <x:c r="K48" s="16" t="s">
        <x:v>91</x:v>
      </x:c>
      <x:c r="L48" s="16" t="s">
        <x:v>91</x:v>
      </x:c>
      <x:c r="M48" s="16" t="s">
        <x:v>91</x:v>
      </x:c>
      <x:c r="N48" s="16" t="s">
        <x:v>796</x:v>
      </x:c>
      <x:c r="O48" s="11" t="s">
        <x:v>806</x:v>
      </x:c>
      <x:c r="P48" s="11" t="s">
        <x:v>807</x:v>
      </x:c>
      <x:c r="Q48" s="23" t="s">
        <x:v>799</x:v>
      </x:c>
    </x:row>
    <x:row r="50" ht="28" customHeight="1">
      <x:c r="A50" s="17" t="s">
        <x:v>329</x:v>
      </x:c>
      <x:c r="B50" s="17"/>
      <x:c r="C50" s="17"/>
      <x:c r="D50" s="17"/>
      <x:c r="E50" s="17"/>
      <x:c r="F50" s="17"/>
      <x:c r="G50" s="17"/>
      <x:c r="H50" s="17"/>
      <x:c r="I50" s="17"/>
      <x:c r="J50" s="17"/>
      <x:c r="K50" s="17"/>
      <x:c r="L50" s="17"/>
      <x:c r="M50" s="17"/>
      <x:c r="N50" s="17"/>
      <x:c r="O50" s="17"/>
      <x:c r="P50" s="17"/>
      <x:c r="Q50" s="17"/>
    </x:row>
  </x:sheetData>
  <x:mergeCells>
    <x:mergeCell ref="A1:Q1"/>
    <x:mergeCell ref="A2:Q2"/>
    <x:mergeCell ref="A3:Q3"/>
    <x:mergeCell ref="A50:Q50"/>
  </x:mergeCells>
  <x:conditionalFormatting sqref="N5:N48">
    <x:cfRule type="expression" dxfId="0" priority="1">
      <x:formula>OR(ISNUMBER(SEARCH("TIDAK BOLEH",N5)),ISNUMBER(SEARCH("BLOCK",N5)))</x:formula>
    </x:cfRule>
    <x:cfRule type="expression" dxfId="1" priority="2">
      <x:formula>OR(ISNUMBER(SEARCH("PLACEHOLDER",N5)),ISNUMBER(SEARCH("BACKLOG",N5)),ISNUMBER(SEARCH("PENDING",N5)),ISNUMBER(SEARCH("PREVIEW",N5)))</x:formula>
    </x:cfRule>
    <x:cfRule type="expression" dxfId="2" priority="3">
      <x:formula>ISNUMBER(SEARCH("FINAL",N5))</x:formula>
    </x:cfRule>
  </x:conditionalFormatting>
  <x:conditionalFormatting sqref="Q5:Q48">
    <x:cfRule type="expression" dxfId="0" priority="4">
      <x:formula>ISNUMBER(SEARCH("BLOCKED",Q5))</x:formula>
    </x:cfRule>
    <x:cfRule type="expression" dxfId="2" priority="5">
      <x:formula>ISNUMBER(SEARCH("READY",Q5))</x:formula>
    </x:cfRule>
  </x:conditionalFormatting>
  <x:pageMargins left="0.7" right="0.7" top="0.75" bottom="0.75" header="0.3" footer="0.3"/>
  <x:tableParts count="1">
    <x:tablePart xmlns:r="http://schemas.openxmlformats.org/officeDocument/2006/relationships" r:id="R63215241991943a5"/>
  </x:tableParts>
</x:worksheet>
</file>

<file path=xl/worksheets/sheet5.xml><?xml version="1.0" encoding="utf-8"?>
<x:worksheet xmlns:x="http://schemas.openxmlformats.org/spreadsheetml/2006/main">
  <x:sheetFormatPr defaultColWidth="9" defaultRowHeight="14"/>
  <x:cols>
    <x:col min="1" max="1" width="12" customWidth="1"/>
    <x:col min="2" max="2" width="27" customWidth="1"/>
    <x:col min="3" max="3" width="25" customWidth="1"/>
    <x:col min="4" max="4" width="8" customWidth="1"/>
    <x:col min="5" max="5" width="24" customWidth="1"/>
    <x:col min="6" max="6" width="18" customWidth="1"/>
    <x:col min="7" max="7" width="42" customWidth="1"/>
    <x:col min="8" max="8" width="58" customWidth="1"/>
    <x:col min="9" max="9" width="54" customWidth="1"/>
    <x:col min="10" max="10" width="42" customWidth="1"/>
    <x:col min="11" max="11" width="23" customWidth="1"/>
    <x:col min="12" max="12" width="22" customWidth="1"/>
    <x:col min="13" max="13" width="23" customWidth="1"/>
    <x:col min="14" max="14" width="28" customWidth="1"/>
    <x:col min="15" max="15" width="42" customWidth="1"/>
    <x:col min="16" max="16" width="30" customWidth="1"/>
    <x:col min="17" max="17" width="29" customWidth="1"/>
  </x:cols>
  <x:sheetData>
    <x:row r="1" ht="36" customHeight="1">
      <x:c r="A1" s="1" t="s">
        <x:v>808</x:v>
      </x:c>
      <x:c r="B1" s="1"/>
      <x:c r="C1" s="1"/>
      <x:c r="D1" s="1"/>
      <x:c r="E1" s="1"/>
      <x:c r="F1" s="1"/>
      <x:c r="G1" s="1"/>
      <x:c r="H1" s="1"/>
      <x:c r="I1" s="1"/>
      <x:c r="J1" s="1"/>
      <x:c r="K1" s="1"/>
      <x:c r="L1" s="1"/>
      <x:c r="M1" s="1"/>
      <x:c r="N1" s="1"/>
      <x:c r="O1" s="1"/>
      <x:c r="P1" s="1"/>
      <x:c r="Q1" s="1"/>
    </x:row>
    <x:row r="2" ht="32" customHeight="1">
      <x:c r="A2" s="2" t="s">
        <x:v>809</x:v>
      </x:c>
      <x:c r="B2" s="2"/>
      <x:c r="C2" s="2"/>
      <x:c r="D2" s="2"/>
      <x:c r="E2" s="2"/>
      <x:c r="F2" s="2"/>
      <x:c r="G2" s="2"/>
      <x:c r="H2" s="2"/>
      <x:c r="I2" s="2"/>
      <x:c r="J2" s="2"/>
      <x:c r="K2" s="2"/>
      <x:c r="L2" s="2"/>
      <x:c r="M2" s="2"/>
      <x:c r="N2" s="2"/>
      <x:c r="O2" s="2"/>
      <x:c r="P2" s="2"/>
      <x:c r="Q2" s="2"/>
    </x:row>
    <x:row r="3" ht="28" customHeight="1">
      <x:c r="A3" s="3" t="s">
        <x:v>75</x:v>
      </x:c>
      <x:c r="B3" s="3"/>
      <x:c r="C3" s="3"/>
      <x:c r="D3" s="3"/>
      <x:c r="E3" s="3"/>
      <x:c r="F3" s="3"/>
      <x:c r="G3" s="3"/>
      <x:c r="H3" s="3"/>
      <x:c r="I3" s="3"/>
      <x:c r="J3" s="3"/>
      <x:c r="K3" s="3"/>
      <x:c r="L3" s="3"/>
      <x:c r="M3" s="3"/>
      <x:c r="N3" s="3"/>
      <x:c r="O3" s="3"/>
      <x:c r="P3" s="3"/>
      <x:c r="Q3" s="3"/>
    </x:row>
    <x:row r="4" ht="34" customHeight="1">
      <x:c r="A4" s="4" t="s">
        <x:v>462</x:v>
      </x:c>
      <x:c r="B4" s="5" t="s">
        <x:v>30</x:v>
      </x:c>
      <x:c r="C4" s="5" t="s">
        <x:v>333</x:v>
      </x:c>
      <x:c r="D4" s="5" t="s">
        <x:v>463</x:v>
      </x:c>
      <x:c r="E4" s="5" t="s">
        <x:v>464</x:v>
      </x:c>
      <x:c r="F4" s="5" t="s">
        <x:v>332</x:v>
      </x:c>
      <x:c r="G4" s="5" t="s">
        <x:v>465</x:v>
      </x:c>
      <x:c r="H4" s="5" t="s">
        <x:v>466</x:v>
      </x:c>
      <x:c r="I4" s="5" t="s">
        <x:v>467</x:v>
      </x:c>
      <x:c r="J4" s="5" t="s">
        <x:v>468</x:v>
      </x:c>
      <x:c r="K4" s="5" t="s">
        <x:v>122</x:v>
      </x:c>
      <x:c r="L4" s="5" t="s">
        <x:v>469</x:v>
      </x:c>
      <x:c r="M4" s="5" t="s">
        <x:v>130</x:v>
      </x:c>
      <x:c r="N4" s="5" t="s">
        <x:v>83</x:v>
      </x:c>
      <x:c r="O4" s="5" t="s">
        <x:v>470</x:v>
      </x:c>
      <x:c r="P4" s="5" t="s">
        <x:v>85</x:v>
      </x:c>
      <x:c r="Q4" s="6" t="s">
        <x:v>471</x:v>
      </x:c>
    </x:row>
    <x:row r="5" ht="112" customHeight="1">
      <x:c r="A5" s="13" t="s">
        <x:v>472</x:v>
      </x:c>
      <x:c r="B5" s="14" t="s">
        <x:v>33</x:v>
      </x:c>
      <x:c r="C5" s="14" t="s">
        <x:v>342</x:v>
      </x:c>
      <x:c r="D5" s="14">
        <x:v>1</x:v>
      </x:c>
      <x:c r="E5" s="8" t="s">
        <x:v>473</x:v>
      </x:c>
      <x:c r="F5" s="14" t="s">
        <x:v>350</x:v>
      </x:c>
      <x:c r="G5" s="8" t="s">
        <x:v>810</x:v>
      </x:c>
      <x:c r="H5" s="8" t="s">
        <x:v>811</x:v>
      </x:c>
      <x:c r="I5" s="8" t="s">
        <x:v>812</x:v>
      </x:c>
      <x:c r="J5" s="8" t="s">
        <x:v>813</x:v>
      </x:c>
      <x:c r="K5" s="14" t="s">
        <x:v>124</x:v>
      </x:c>
      <x:c r="L5" s="14" t="s">
        <x:v>40</x:v>
      </x:c>
      <x:c r="M5" s="14" t="s">
        <x:v>132</x:v>
      </x:c>
      <x:c r="N5" s="14" t="s">
        <x:v>92</x:v>
      </x:c>
      <x:c r="O5" s="8" t="s">
        <x:v>478</x:v>
      </x:c>
      <x:c r="P5" s="8" t="s">
        <x:v>479</x:v>
      </x:c>
      <x:c r="Q5" s="22" t="s">
        <x:v>480</x:v>
      </x:c>
    </x:row>
    <x:row r="6" ht="112" customHeight="1">
      <x:c r="A6" s="13" t="s">
        <x:v>481</x:v>
      </x:c>
      <x:c r="B6" s="14" t="s">
        <x:v>33</x:v>
      </x:c>
      <x:c r="C6" s="14" t="s">
        <x:v>342</x:v>
      </x:c>
      <x:c r="D6" s="14">
        <x:v>2</x:v>
      </x:c>
      <x:c r="E6" s="8" t="s">
        <x:v>482</x:v>
      </x:c>
      <x:c r="F6" s="14" t="s">
        <x:v>350</x:v>
      </x:c>
      <x:c r="G6" s="8" t="s">
        <x:v>814</x:v>
      </x:c>
      <x:c r="H6" s="8" t="s">
        <x:v>815</x:v>
      </x:c>
      <x:c r="I6" s="8" t="s">
        <x:v>816</x:v>
      </x:c>
      <x:c r="J6" s="8" t="s">
        <x:v>486</x:v>
      </x:c>
      <x:c r="K6" s="14" t="s">
        <x:v>817</x:v>
      </x:c>
      <x:c r="L6" s="14" t="s">
        <x:v>36</x:v>
      </x:c>
      <x:c r="M6" s="14" t="s">
        <x:v>91</x:v>
      </x:c>
      <x:c r="N6" s="14" t="s">
        <x:v>102</x:v>
      </x:c>
      <x:c r="O6" s="8" t="s">
        <x:v>91</x:v>
      </x:c>
      <x:c r="P6" s="8" t="s">
        <x:v>488</x:v>
      </x:c>
      <x:c r="Q6" s="22" t="s">
        <x:v>480</x:v>
      </x:c>
    </x:row>
    <x:row r="7" ht="112" customHeight="1">
      <x:c r="A7" s="13" t="s">
        <x:v>489</x:v>
      </x:c>
      <x:c r="B7" s="14" t="s">
        <x:v>33</x:v>
      </x:c>
      <x:c r="C7" s="14" t="s">
        <x:v>342</x:v>
      </x:c>
      <x:c r="D7" s="14">
        <x:v>3</x:v>
      </x:c>
      <x:c r="E7" s="8" t="s">
        <x:v>490</x:v>
      </x:c>
      <x:c r="F7" s="14" t="s">
        <x:v>350</x:v>
      </x:c>
      <x:c r="G7" s="8" t="s">
        <x:v>818</x:v>
      </x:c>
      <x:c r="H7" s="8" t="s">
        <x:v>819</x:v>
      </x:c>
      <x:c r="I7" s="8" t="s">
        <x:v>820</x:v>
      </x:c>
      <x:c r="J7" s="8" t="s">
        <x:v>494</x:v>
      </x:c>
      <x:c r="K7" s="14" t="s">
        <x:v>821</x:v>
      </x:c>
      <x:c r="L7" s="14" t="s">
        <x:v>36</x:v>
      </x:c>
      <x:c r="M7" s="14" t="s">
        <x:v>91</x:v>
      </x:c>
      <x:c r="N7" s="14" t="s">
        <x:v>92</x:v>
      </x:c>
      <x:c r="O7" s="8" t="s">
        <x:v>496</x:v>
      </x:c>
      <x:c r="P7" s="8" t="s">
        <x:v>497</x:v>
      </x:c>
      <x:c r="Q7" s="22" t="s">
        <x:v>480</x:v>
      </x:c>
    </x:row>
    <x:row r="8" ht="112" customHeight="1">
      <x:c r="A8" s="13" t="s">
        <x:v>498</x:v>
      </x:c>
      <x:c r="B8" s="14" t="s">
        <x:v>33</x:v>
      </x:c>
      <x:c r="C8" s="14" t="s">
        <x:v>342</x:v>
      </x:c>
      <x:c r="D8" s="14">
        <x:v>4</x:v>
      </x:c>
      <x:c r="E8" s="8" t="s">
        <x:v>499</x:v>
      </x:c>
      <x:c r="F8" s="14" t="s">
        <x:v>350</x:v>
      </x:c>
      <x:c r="G8" s="8" t="s">
        <x:v>822</x:v>
      </x:c>
      <x:c r="H8" s="8" t="s">
        <x:v>823</x:v>
      </x:c>
      <x:c r="I8" s="8" t="s">
        <x:v>824</x:v>
      </x:c>
      <x:c r="J8" s="8" t="s">
        <x:v>503</x:v>
      </x:c>
      <x:c r="K8" s="14" t="s">
        <x:v>825</x:v>
      </x:c>
      <x:c r="L8" s="14" t="s">
        <x:v>40</x:v>
      </x:c>
      <x:c r="M8" s="14" t="s">
        <x:v>91</x:v>
      </x:c>
      <x:c r="N8" s="14" t="s">
        <x:v>505</x:v>
      </x:c>
      <x:c r="O8" s="8" t="s">
        <x:v>506</x:v>
      </x:c>
      <x:c r="P8" s="8" t="s">
        <x:v>507</x:v>
      </x:c>
      <x:c r="Q8" s="22" t="s">
        <x:v>480</x:v>
      </x:c>
    </x:row>
    <x:row r="9" ht="112" customHeight="1">
      <x:c r="A9" s="13" t="s">
        <x:v>508</x:v>
      </x:c>
      <x:c r="B9" s="14" t="s">
        <x:v>33</x:v>
      </x:c>
      <x:c r="C9" s="14" t="s">
        <x:v>342</x:v>
      </x:c>
      <x:c r="D9" s="14">
        <x:v>5</x:v>
      </x:c>
      <x:c r="E9" s="8" t="s">
        <x:v>499</x:v>
      </x:c>
      <x:c r="F9" s="14" t="s">
        <x:v>350</x:v>
      </x:c>
      <x:c r="G9" s="8" t="s">
        <x:v>826</x:v>
      </x:c>
      <x:c r="H9" s="8" t="s">
        <x:v>827</x:v>
      </x:c>
      <x:c r="I9" s="8" t="s">
        <x:v>828</x:v>
      </x:c>
      <x:c r="J9" s="8" t="s">
        <x:v>512</x:v>
      </x:c>
      <x:c r="K9" s="14" t="s">
        <x:v>825</x:v>
      </x:c>
      <x:c r="L9" s="14" t="s">
        <x:v>40</x:v>
      </x:c>
      <x:c r="M9" s="14" t="s">
        <x:v>91</x:v>
      </x:c>
      <x:c r="N9" s="14" t="s">
        <x:v>505</x:v>
      </x:c>
      <x:c r="O9" s="8" t="s">
        <x:v>513</x:v>
      </x:c>
      <x:c r="P9" s="8" t="s">
        <x:v>507</x:v>
      </x:c>
      <x:c r="Q9" s="22" t="s">
        <x:v>480</x:v>
      </x:c>
    </x:row>
    <x:row r="10" ht="112" customHeight="1">
      <x:c r="A10" s="13" t="s">
        <x:v>514</x:v>
      </x:c>
      <x:c r="B10" s="14" t="s">
        <x:v>33</x:v>
      </x:c>
      <x:c r="C10" s="14" t="s">
        <x:v>342</x:v>
      </x:c>
      <x:c r="D10" s="14">
        <x:v>6</x:v>
      </x:c>
      <x:c r="E10" s="8" t="s">
        <x:v>499</x:v>
      </x:c>
      <x:c r="F10" s="14" t="s">
        <x:v>350</x:v>
      </x:c>
      <x:c r="G10" s="8" t="s">
        <x:v>829</x:v>
      </x:c>
      <x:c r="H10" s="8" t="s">
        <x:v>830</x:v>
      </x:c>
      <x:c r="I10" s="8" t="s">
        <x:v>831</x:v>
      </x:c>
      <x:c r="J10" s="8" t="s">
        <x:v>518</x:v>
      </x:c>
      <x:c r="K10" s="14" t="s">
        <x:v>825</x:v>
      </x:c>
      <x:c r="L10" s="14" t="s">
        <x:v>40</x:v>
      </x:c>
      <x:c r="M10" s="14" t="s">
        <x:v>91</x:v>
      </x:c>
      <x:c r="N10" s="14" t="s">
        <x:v>505</x:v>
      </x:c>
      <x:c r="O10" s="8" t="s">
        <x:v>519</x:v>
      </x:c>
      <x:c r="P10" s="8" t="s">
        <x:v>507</x:v>
      </x:c>
      <x:c r="Q10" s="22" t="s">
        <x:v>480</x:v>
      </x:c>
    </x:row>
    <x:row r="11" ht="112" customHeight="1">
      <x:c r="A11" s="13" t="s">
        <x:v>520</x:v>
      </x:c>
      <x:c r="B11" s="14" t="s">
        <x:v>33</x:v>
      </x:c>
      <x:c r="C11" s="14" t="s">
        <x:v>342</x:v>
      </x:c>
      <x:c r="D11" s="14">
        <x:v>7</x:v>
      </x:c>
      <x:c r="E11" s="8" t="s">
        <x:v>499</x:v>
      </x:c>
      <x:c r="F11" s="14" t="s">
        <x:v>350</x:v>
      </x:c>
      <x:c r="G11" s="8" t="s">
        <x:v>832</x:v>
      </x:c>
      <x:c r="H11" s="8" t="s">
        <x:v>833</x:v>
      </x:c>
      <x:c r="I11" s="8" t="s">
        <x:v>834</x:v>
      </x:c>
      <x:c r="J11" s="8" t="s">
        <x:v>524</x:v>
      </x:c>
      <x:c r="K11" s="14" t="s">
        <x:v>825</x:v>
      </x:c>
      <x:c r="L11" s="14" t="s">
        <x:v>40</x:v>
      </x:c>
      <x:c r="M11" s="14" t="s">
        <x:v>91</x:v>
      </x:c>
      <x:c r="N11" s="14" t="s">
        <x:v>505</x:v>
      </x:c>
      <x:c r="O11" s="8" t="s">
        <x:v>525</x:v>
      </x:c>
      <x:c r="P11" s="8" t="s">
        <x:v>507</x:v>
      </x:c>
      <x:c r="Q11" s="22" t="s">
        <x:v>480</x:v>
      </x:c>
    </x:row>
    <x:row r="12" ht="112" customHeight="1">
      <x:c r="A12" s="13" t="s">
        <x:v>526</x:v>
      </x:c>
      <x:c r="B12" s="14" t="s">
        <x:v>33</x:v>
      </x:c>
      <x:c r="C12" s="14" t="s">
        <x:v>342</x:v>
      </x:c>
      <x:c r="D12" s="14">
        <x:v>8</x:v>
      </x:c>
      <x:c r="E12" s="8" t="s">
        <x:v>527</x:v>
      </x:c>
      <x:c r="F12" s="14" t="s">
        <x:v>350</x:v>
      </x:c>
      <x:c r="G12" s="8" t="s">
        <x:v>835</x:v>
      </x:c>
      <x:c r="H12" s="8" t="s">
        <x:v>836</x:v>
      </x:c>
      <x:c r="I12" s="8" t="s">
        <x:v>837</x:v>
      </x:c>
      <x:c r="J12" s="8" t="s">
        <x:v>531</x:v>
      </x:c>
      <x:c r="K12" s="14" t="s">
        <x:v>838</x:v>
      </x:c>
      <x:c r="L12" s="14" t="s">
        <x:v>40</x:v>
      </x:c>
      <x:c r="M12" s="14" t="s">
        <x:v>132</x:v>
      </x:c>
      <x:c r="N12" s="14" t="s">
        <x:v>102</x:v>
      </x:c>
      <x:c r="O12" s="8" t="s">
        <x:v>533</x:v>
      </x:c>
      <x:c r="P12" s="8" t="s">
        <x:v>185</x:v>
      </x:c>
      <x:c r="Q12" s="22" t="s">
        <x:v>480</x:v>
      </x:c>
    </x:row>
    <x:row r="13" ht="112" customHeight="1">
      <x:c r="A13" s="13" t="s">
        <x:v>534</x:v>
      </x:c>
      <x:c r="B13" s="14" t="s">
        <x:v>33</x:v>
      </x:c>
      <x:c r="C13" s="14" t="s">
        <x:v>342</x:v>
      </x:c>
      <x:c r="D13" s="14">
        <x:v>9</x:v>
      </x:c>
      <x:c r="E13" s="8" t="s">
        <x:v>535</x:v>
      </x:c>
      <x:c r="F13" s="14" t="s">
        <x:v>350</x:v>
      </x:c>
      <x:c r="G13" s="8" t="s">
        <x:v>839</x:v>
      </x:c>
      <x:c r="H13" s="8" t="s">
        <x:v>166</x:v>
      </x:c>
      <x:c r="I13" s="8" t="s">
        <x:v>840</x:v>
      </x:c>
      <x:c r="J13" s="8" t="s">
        <x:v>538</x:v>
      </x:c>
      <x:c r="K13" s="14" t="s">
        <x:v>841</x:v>
      </x:c>
      <x:c r="L13" s="14" t="s">
        <x:v>34</x:v>
      </x:c>
      <x:c r="M13" s="14" t="s">
        <x:v>91</x:v>
      </x:c>
      <x:c r="N13" s="14" t="s">
        <x:v>92</x:v>
      </x:c>
      <x:c r="O13" s="8" t="s">
        <x:v>540</x:v>
      </x:c>
      <x:c r="P13" s="8" t="s">
        <x:v>541</x:v>
      </x:c>
      <x:c r="Q13" s="22" t="s">
        <x:v>480</x:v>
      </x:c>
    </x:row>
    <x:row r="14" ht="112" customHeight="1">
      <x:c r="A14" s="13" t="s">
        <x:v>542</x:v>
      </x:c>
      <x:c r="B14" s="14" t="s">
        <x:v>33</x:v>
      </x:c>
      <x:c r="C14" s="14" t="s">
        <x:v>543</x:v>
      </x:c>
      <x:c r="D14" s="14">
        <x:v>10</x:v>
      </x:c>
      <x:c r="E14" s="8" t="s">
        <x:v>544</x:v>
      </x:c>
      <x:c r="F14" s="14" t="s">
        <x:v>350</x:v>
      </x:c>
      <x:c r="G14" s="8" t="s">
        <x:v>842</x:v>
      </x:c>
      <x:c r="H14" s="8" t="s">
        <x:v>843</x:v>
      </x:c>
      <x:c r="I14" s="8" t="s">
        <x:v>844</x:v>
      </x:c>
      <x:c r="J14" s="8" t="s">
        <x:v>548</x:v>
      </x:c>
      <x:c r="K14" s="14" t="s">
        <x:v>845</x:v>
      </x:c>
      <x:c r="L14" s="14" t="s">
        <x:v>37</x:v>
      </x:c>
      <x:c r="M14" s="14" t="s">
        <x:v>124</x:v>
      </x:c>
      <x:c r="N14" s="14" t="s">
        <x:v>550</x:v>
      </x:c>
      <x:c r="O14" s="8" t="s">
        <x:v>551</x:v>
      </x:c>
      <x:c r="P14" s="8" t="s">
        <x:v>388</x:v>
      </x:c>
      <x:c r="Q14" s="22" t="s">
        <x:v>552</x:v>
      </x:c>
    </x:row>
    <x:row r="15" ht="112" customHeight="1">
      <x:c r="A15" s="13" t="s">
        <x:v>553</x:v>
      </x:c>
      <x:c r="B15" s="14" t="s">
        <x:v>33</x:v>
      </x:c>
      <x:c r="C15" s="14" t="s">
        <x:v>554</x:v>
      </x:c>
      <x:c r="D15" s="14">
        <x:v>11</x:v>
      </x:c>
      <x:c r="E15" s="8" t="s">
        <x:v>555</x:v>
      </x:c>
      <x:c r="F15" s="14" t="s">
        <x:v>350</x:v>
      </x:c>
      <x:c r="G15" s="8" t="s">
        <x:v>846</x:v>
      </x:c>
      <x:c r="H15" s="8" t="s">
        <x:v>847</x:v>
      </x:c>
      <x:c r="I15" s="8" t="s">
        <x:v>848</x:v>
      </x:c>
      <x:c r="J15" s="8" t="s">
        <x:v>559</x:v>
      </x:c>
      <x:c r="K15" s="14" t="s">
        <x:v>849</x:v>
      </x:c>
      <x:c r="L15" s="14" t="s">
        <x:v>38</x:v>
      </x:c>
      <x:c r="M15" s="14" t="s">
        <x:v>91</x:v>
      </x:c>
      <x:c r="N15" s="14" t="s">
        <x:v>561</x:v>
      </x:c>
      <x:c r="O15" s="8" t="s">
        <x:v>562</x:v>
      </x:c>
      <x:c r="P15" s="8" t="s">
        <x:v>396</x:v>
      </x:c>
      <x:c r="Q15" s="22" t="s">
        <x:v>480</x:v>
      </x:c>
    </x:row>
    <x:row r="16" ht="112" customHeight="1">
      <x:c r="A16" s="13" t="s">
        <x:v>563</x:v>
      </x:c>
      <x:c r="B16" s="14" t="s">
        <x:v>33</x:v>
      </x:c>
      <x:c r="C16" s="14" t="s">
        <x:v>342</x:v>
      </x:c>
      <x:c r="D16" s="14">
        <x:v>12</x:v>
      </x:c>
      <x:c r="E16" s="8" t="s">
        <x:v>564</x:v>
      </x:c>
      <x:c r="F16" s="14" t="s">
        <x:v>350</x:v>
      </x:c>
      <x:c r="G16" s="8" t="s">
        <x:v>850</x:v>
      </x:c>
      <x:c r="H16" s="8" t="s">
        <x:v>851</x:v>
      </x:c>
      <x:c r="I16" s="8" t="s">
        <x:v>257</x:v>
      </x:c>
      <x:c r="J16" s="8" t="s">
        <x:v>567</x:v>
      </x:c>
      <x:c r="K16" s="14" t="s">
        <x:v>124</x:v>
      </x:c>
      <x:c r="L16" s="14" t="s">
        <x:v>40</x:v>
      </x:c>
      <x:c r="M16" s="14" t="s">
        <x:v>91</x:v>
      </x:c>
      <x:c r="N16" s="14" t="s">
        <x:v>102</x:v>
      </x:c>
      <x:c r="O16" s="8" t="s">
        <x:v>568</x:v>
      </x:c>
      <x:c r="P16" s="8" t="s">
        <x:v>569</x:v>
      </x:c>
      <x:c r="Q16" s="22" t="s">
        <x:v>480</x:v>
      </x:c>
    </x:row>
    <x:row r="17" ht="112" customHeight="1">
      <x:c r="A17" s="13" t="s">
        <x:v>570</x:v>
      </x:c>
      <x:c r="B17" s="14" t="s">
        <x:v>34</x:v>
      </x:c>
      <x:c r="C17" s="14" t="s">
        <x:v>342</x:v>
      </x:c>
      <x:c r="D17" s="14">
        <x:v>1</x:v>
      </x:c>
      <x:c r="E17" s="8" t="s">
        <x:v>473</x:v>
      </x:c>
      <x:c r="F17" s="14" t="s">
        <x:v>358</x:v>
      </x:c>
      <x:c r="G17" s="8" t="s">
        <x:v>852</x:v>
      </x:c>
      <x:c r="H17" s="8" t="s">
        <x:v>853</x:v>
      </x:c>
      <x:c r="I17" s="8" t="s">
        <x:v>854</x:v>
      </x:c>
      <x:c r="J17" s="8" t="s">
        <x:v>574</x:v>
      </x:c>
      <x:c r="K17" s="14" t="s">
        <x:v>124</x:v>
      </x:c>
      <x:c r="L17" s="14" t="s">
        <x:v>40</x:v>
      </x:c>
      <x:c r="M17" s="14" t="s">
        <x:v>132</x:v>
      </x:c>
      <x:c r="N17" s="14" t="s">
        <x:v>102</x:v>
      </x:c>
      <x:c r="O17" s="8" t="s">
        <x:v>91</x:v>
      </x:c>
      <x:c r="P17" s="8" t="s">
        <x:v>575</x:v>
      </x:c>
      <x:c r="Q17" s="22" t="s">
        <x:v>480</x:v>
      </x:c>
    </x:row>
    <x:row r="18" ht="112" customHeight="1">
      <x:c r="A18" s="13" t="s">
        <x:v>576</x:v>
      </x:c>
      <x:c r="B18" s="14" t="s">
        <x:v>34</x:v>
      </x:c>
      <x:c r="C18" s="14" t="s">
        <x:v>342</x:v>
      </x:c>
      <x:c r="D18" s="14">
        <x:v>2</x:v>
      </x:c>
      <x:c r="E18" s="8" t="s">
        <x:v>577</x:v>
      </x:c>
      <x:c r="F18" s="14" t="s">
        <x:v>358</x:v>
      </x:c>
      <x:c r="G18" s="8" t="s">
        <x:v>855</x:v>
      </x:c>
      <x:c r="H18" s="8" t="s">
        <x:v>166</x:v>
      </x:c>
      <x:c r="I18" s="8" t="s">
        <x:v>856</x:v>
      </x:c>
      <x:c r="J18" s="8" t="s">
        <x:v>580</x:v>
      </x:c>
      <x:c r="K18" s="14" t="s">
        <x:v>91</x:v>
      </x:c>
      <x:c r="L18" s="14" t="s">
        <x:v>91</x:v>
      </x:c>
      <x:c r="M18" s="14" t="s">
        <x:v>91</x:v>
      </x:c>
      <x:c r="N18" s="14" t="s">
        <x:v>92</x:v>
      </x:c>
      <x:c r="O18" s="8" t="s">
        <x:v>581</x:v>
      </x:c>
      <x:c r="P18" s="8" t="s">
        <x:v>169</x:v>
      </x:c>
      <x:c r="Q18" s="22" t="s">
        <x:v>480</x:v>
      </x:c>
    </x:row>
    <x:row r="19" ht="112" customHeight="1">
      <x:c r="A19" s="13" t="s">
        <x:v>582</x:v>
      </x:c>
      <x:c r="B19" s="14" t="s">
        <x:v>34</x:v>
      </x:c>
      <x:c r="C19" s="14" t="s">
        <x:v>342</x:v>
      </x:c>
      <x:c r="D19" s="14">
        <x:v>3</x:v>
      </x:c>
      <x:c r="E19" s="8" t="s">
        <x:v>583</x:v>
      </x:c>
      <x:c r="F19" s="14" t="s">
        <x:v>358</x:v>
      </x:c>
      <x:c r="G19" s="8" t="s">
        <x:v>857</x:v>
      </x:c>
      <x:c r="H19" s="8" t="s">
        <x:v>858</x:v>
      </x:c>
      <x:c r="I19" s="8" t="s">
        <x:v>859</x:v>
      </x:c>
      <x:c r="J19" s="8" t="s">
        <x:v>587</x:v>
      </x:c>
      <x:c r="K19" s="14" t="s">
        <x:v>860</x:v>
      </x:c>
      <x:c r="L19" s="14" t="s">
        <x:v>36</x:v>
      </x:c>
      <x:c r="M19" s="14" t="s">
        <x:v>91</x:v>
      </x:c>
      <x:c r="N19" s="14" t="s">
        <x:v>102</x:v>
      </x:c>
      <x:c r="O19" s="8" t="s">
        <x:v>91</x:v>
      </x:c>
      <x:c r="P19" s="8" t="s">
        <x:v>589</x:v>
      </x:c>
      <x:c r="Q19" s="22" t="s">
        <x:v>480</x:v>
      </x:c>
    </x:row>
    <x:row r="20" ht="112" customHeight="1">
      <x:c r="A20" s="13" t="s">
        <x:v>590</x:v>
      </x:c>
      <x:c r="B20" s="14" t="s">
        <x:v>34</x:v>
      </x:c>
      <x:c r="C20" s="14" t="s">
        <x:v>342</x:v>
      </x:c>
      <x:c r="D20" s="14">
        <x:v>4</x:v>
      </x:c>
      <x:c r="E20" s="8" t="s">
        <x:v>591</x:v>
      </x:c>
      <x:c r="F20" s="14" t="s">
        <x:v>358</x:v>
      </x:c>
      <x:c r="G20" s="8" t="s">
        <x:v>861</x:v>
      </x:c>
      <x:c r="H20" s="8" t="s">
        <x:v>862</x:v>
      </x:c>
      <x:c r="I20" s="8" t="s">
        <x:v>863</x:v>
      </x:c>
      <x:c r="J20" s="8" t="s">
        <x:v>595</x:v>
      </x:c>
      <x:c r="K20" s="14" t="s">
        <x:v>838</x:v>
      </x:c>
      <x:c r="L20" s="14" t="s">
        <x:v>40</x:v>
      </x:c>
      <x:c r="M20" s="14" t="s">
        <x:v>91</x:v>
      </x:c>
      <x:c r="N20" s="14" t="s">
        <x:v>102</x:v>
      </x:c>
      <x:c r="O20" s="8" t="s">
        <x:v>91</x:v>
      </x:c>
      <x:c r="P20" s="8" t="s">
        <x:v>596</x:v>
      </x:c>
      <x:c r="Q20" s="22" t="s">
        <x:v>480</x:v>
      </x:c>
    </x:row>
    <x:row r="21" ht="112" customHeight="1">
      <x:c r="A21" s="13" t="s">
        <x:v>597</x:v>
      </x:c>
      <x:c r="B21" s="14" t="s">
        <x:v>34</x:v>
      </x:c>
      <x:c r="C21" s="14" t="s">
        <x:v>543</x:v>
      </x:c>
      <x:c r="D21" s="14">
        <x:v>5</x:v>
      </x:c>
      <x:c r="E21" s="8" t="s">
        <x:v>598</x:v>
      </x:c>
      <x:c r="F21" s="14" t="s">
        <x:v>358</x:v>
      </x:c>
      <x:c r="G21" s="8" t="s">
        <x:v>864</x:v>
      </x:c>
      <x:c r="H21" s="8" t="s">
        <x:v>865</x:v>
      </x:c>
      <x:c r="I21" s="8" t="s">
        <x:v>866</x:v>
      </x:c>
      <x:c r="J21" s="8" t="s">
        <x:v>602</x:v>
      </x:c>
      <x:c r="K21" s="14" t="s">
        <x:v>867</x:v>
      </x:c>
      <x:c r="L21" s="14" t="s">
        <x:v>35</x:v>
      </x:c>
      <x:c r="M21" s="14" t="s">
        <x:v>124</x:v>
      </x:c>
      <x:c r="N21" s="14" t="s">
        <x:v>550</x:v>
      </x:c>
      <x:c r="O21" s="8" t="s">
        <x:v>604</x:v>
      </x:c>
      <x:c r="P21" s="8" t="s">
        <x:v>371</x:v>
      </x:c>
      <x:c r="Q21" s="22" t="s">
        <x:v>605</x:v>
      </x:c>
    </x:row>
    <x:row r="22" ht="112" customHeight="1">
      <x:c r="A22" s="13" t="s">
        <x:v>606</x:v>
      </x:c>
      <x:c r="B22" s="14" t="s">
        <x:v>34</x:v>
      </x:c>
      <x:c r="C22" s="14" t="s">
        <x:v>342</x:v>
      </x:c>
      <x:c r="D22" s="14">
        <x:v>6</x:v>
      </x:c>
      <x:c r="E22" s="8" t="s">
        <x:v>564</x:v>
      </x:c>
      <x:c r="F22" s="14" t="s">
        <x:v>358</x:v>
      </x:c>
      <x:c r="G22" s="8" t="s">
        <x:v>868</x:v>
      </x:c>
      <x:c r="H22" s="8" t="s">
        <x:v>869</x:v>
      </x:c>
      <x:c r="I22" s="8" t="s">
        <x:v>870</x:v>
      </x:c>
      <x:c r="J22" s="8" t="s">
        <x:v>610</x:v>
      </x:c>
      <x:c r="K22" s="14" t="s">
        <x:v>124</x:v>
      </x:c>
      <x:c r="L22" s="14" t="s">
        <x:v>40</x:v>
      </x:c>
      <x:c r="M22" s="14" t="s">
        <x:v>132</x:v>
      </x:c>
      <x:c r="N22" s="14" t="s">
        <x:v>611</x:v>
      </x:c>
      <x:c r="O22" s="8" t="s">
        <x:v>612</x:v>
      </x:c>
      <x:c r="P22" s="8" t="s">
        <x:v>613</x:v>
      </x:c>
      <x:c r="Q22" s="22" t="s">
        <x:v>480</x:v>
      </x:c>
    </x:row>
    <x:row r="23" ht="112" customHeight="1">
      <x:c r="A23" s="13" t="s">
        <x:v>614</x:v>
      </x:c>
      <x:c r="B23" s="14" t="s">
        <x:v>35</x:v>
      </x:c>
      <x:c r="C23" s="14" t="s">
        <x:v>366</x:v>
      </x:c>
      <x:c r="D23" s="14">
        <x:v>1</x:v>
      </x:c>
      <x:c r="E23" s="8" t="s">
        <x:v>615</x:v>
      </x:c>
      <x:c r="F23" s="14" t="s">
        <x:v>365</x:v>
      </x:c>
      <x:c r="G23" s="8" t="s">
        <x:v>871</x:v>
      </x:c>
      <x:c r="H23" s="8" t="s">
        <x:v>872</x:v>
      </x:c>
      <x:c r="I23" s="8" t="s">
        <x:v>873</x:v>
      </x:c>
      <x:c r="J23" s="8" t="s">
        <x:v>619</x:v>
      </x:c>
      <x:c r="K23" s="14" t="s">
        <x:v>124</x:v>
      </x:c>
      <x:c r="L23" s="14" t="s">
        <x:v>40</x:v>
      </x:c>
      <x:c r="M23" s="14" t="s">
        <x:v>874</x:v>
      </x:c>
      <x:c r="N23" s="14" t="s">
        <x:v>550</x:v>
      </x:c>
      <x:c r="O23" s="8" t="s">
        <x:v>621</x:v>
      </x:c>
      <x:c r="P23" s="8" t="s">
        <x:v>622</x:v>
      </x:c>
      <x:c r="Q23" s="22" t="s">
        <x:v>623</x:v>
      </x:c>
    </x:row>
    <x:row r="24" ht="112" customHeight="1">
      <x:c r="A24" s="13" t="s">
        <x:v>624</x:v>
      </x:c>
      <x:c r="B24" s="14" t="s">
        <x:v>36</x:v>
      </x:c>
      <x:c r="C24" s="14" t="s">
        <x:v>342</x:v>
      </x:c>
      <x:c r="D24" s="14">
        <x:v>1</x:v>
      </x:c>
      <x:c r="E24" s="8" t="s">
        <x:v>473</x:v>
      </x:c>
      <x:c r="F24" s="14" t="s">
        <x:v>374</x:v>
      </x:c>
      <x:c r="G24" s="8" t="s">
        <x:v>875</x:v>
      </x:c>
      <x:c r="H24" s="8" t="s">
        <x:v>876</x:v>
      </x:c>
      <x:c r="I24" s="8" t="s">
        <x:v>877</x:v>
      </x:c>
      <x:c r="J24" s="8" t="s">
        <x:v>628</x:v>
      </x:c>
      <x:c r="K24" s="14" t="s">
        <x:v>124</x:v>
      </x:c>
      <x:c r="L24" s="14" t="s">
        <x:v>40</x:v>
      </x:c>
      <x:c r="M24" s="14" t="s">
        <x:v>91</x:v>
      </x:c>
      <x:c r="N24" s="14" t="s">
        <x:v>102</x:v>
      </x:c>
      <x:c r="O24" s="8" t="s">
        <x:v>91</x:v>
      </x:c>
      <x:c r="P24" s="8" t="s">
        <x:v>507</x:v>
      </x:c>
      <x:c r="Q24" s="22" t="s">
        <x:v>480</x:v>
      </x:c>
    </x:row>
    <x:row r="25" ht="112" customHeight="1">
      <x:c r="A25" s="13" t="s">
        <x:v>629</x:v>
      </x:c>
      <x:c r="B25" s="14" t="s">
        <x:v>36</x:v>
      </x:c>
      <x:c r="C25" s="14" t="s">
        <x:v>342</x:v>
      </x:c>
      <x:c r="D25" s="14">
        <x:v>2</x:v>
      </x:c>
      <x:c r="E25" s="8" t="s">
        <x:v>630</x:v>
      </x:c>
      <x:c r="F25" s="14" t="s">
        <x:v>374</x:v>
      </x:c>
      <x:c r="G25" s="8" t="s">
        <x:v>878</x:v>
      </x:c>
      <x:c r="H25" s="8" t="s">
        <x:v>879</x:v>
      </x:c>
      <x:c r="I25" s="8" t="s">
        <x:v>880</x:v>
      </x:c>
      <x:c r="J25" s="8" t="s">
        <x:v>634</x:v>
      </x:c>
      <x:c r="K25" s="14" t="s">
        <x:v>881</x:v>
      </x:c>
      <x:c r="L25" s="14" t="s">
        <x:v>40</x:v>
      </x:c>
      <x:c r="M25" s="14" t="s">
        <x:v>91</x:v>
      </x:c>
      <x:c r="N25" s="14" t="s">
        <x:v>102</x:v>
      </x:c>
      <x:c r="O25" s="8" t="s">
        <x:v>91</x:v>
      </x:c>
      <x:c r="P25" s="8" t="s">
        <x:v>636</x:v>
      </x:c>
      <x:c r="Q25" s="22" t="s">
        <x:v>480</x:v>
      </x:c>
    </x:row>
    <x:row r="26" ht="112" customHeight="1">
      <x:c r="A26" s="13" t="s">
        <x:v>637</x:v>
      </x:c>
      <x:c r="B26" s="14" t="s">
        <x:v>36</x:v>
      </x:c>
      <x:c r="C26" s="14" t="s">
        <x:v>342</x:v>
      </x:c>
      <x:c r="D26" s="14">
        <x:v>3</x:v>
      </x:c>
      <x:c r="E26" s="8" t="s">
        <x:v>638</x:v>
      </x:c>
      <x:c r="F26" s="14" t="s">
        <x:v>374</x:v>
      </x:c>
      <x:c r="G26" s="8" t="s">
        <x:v>822</x:v>
      </x:c>
      <x:c r="H26" s="8" t="s">
        <x:v>823</x:v>
      </x:c>
      <x:c r="I26" s="8" t="s">
        <x:v>882</x:v>
      </x:c>
      <x:c r="J26" s="8" t="s">
        <x:v>883</x:v>
      </x:c>
      <x:c r="K26" s="14" t="s">
        <x:v>884</x:v>
      </x:c>
      <x:c r="L26" s="14" t="s">
        <x:v>40</x:v>
      </x:c>
      <x:c r="M26" s="14" t="s">
        <x:v>91</x:v>
      </x:c>
      <x:c r="N26" s="14" t="s">
        <x:v>505</x:v>
      </x:c>
      <x:c r="O26" s="8" t="s">
        <x:v>642</x:v>
      </x:c>
      <x:c r="P26" s="8" t="s">
        <x:v>507</x:v>
      </x:c>
      <x:c r="Q26" s="22" t="s">
        <x:v>480</x:v>
      </x:c>
    </x:row>
    <x:row r="27" ht="112" customHeight="1">
      <x:c r="A27" s="13" t="s">
        <x:v>643</x:v>
      </x:c>
      <x:c r="B27" s="14" t="s">
        <x:v>36</x:v>
      </x:c>
      <x:c r="C27" s="14" t="s">
        <x:v>342</x:v>
      </x:c>
      <x:c r="D27" s="14">
        <x:v>4</x:v>
      </x:c>
      <x:c r="E27" s="8" t="s">
        <x:v>638</x:v>
      </x:c>
      <x:c r="F27" s="14" t="s">
        <x:v>374</x:v>
      </x:c>
      <x:c r="G27" s="8" t="s">
        <x:v>826</x:v>
      </x:c>
      <x:c r="H27" s="8" t="s">
        <x:v>885</x:v>
      </x:c>
      <x:c r="I27" s="8" t="s">
        <x:v>886</x:v>
      </x:c>
      <x:c r="J27" s="8" t="s">
        <x:v>887</x:v>
      </x:c>
      <x:c r="K27" s="14" t="s">
        <x:v>884</x:v>
      </x:c>
      <x:c r="L27" s="14" t="s">
        <x:v>40</x:v>
      </x:c>
      <x:c r="M27" s="14" t="s">
        <x:v>91</x:v>
      </x:c>
      <x:c r="N27" s="14" t="s">
        <x:v>505</x:v>
      </x:c>
      <x:c r="O27" s="8" t="s">
        <x:v>647</x:v>
      </x:c>
      <x:c r="P27" s="8" t="s">
        <x:v>507</x:v>
      </x:c>
      <x:c r="Q27" s="22" t="s">
        <x:v>480</x:v>
      </x:c>
    </x:row>
    <x:row r="28" ht="112" customHeight="1">
      <x:c r="A28" s="13" t="s">
        <x:v>648</x:v>
      </x:c>
      <x:c r="B28" s="14" t="s">
        <x:v>36</x:v>
      </x:c>
      <x:c r="C28" s="14" t="s">
        <x:v>342</x:v>
      </x:c>
      <x:c r="D28" s="14">
        <x:v>5</x:v>
      </x:c>
      <x:c r="E28" s="8" t="s">
        <x:v>638</x:v>
      </x:c>
      <x:c r="F28" s="14" t="s">
        <x:v>374</x:v>
      </x:c>
      <x:c r="G28" s="8" t="s">
        <x:v>829</x:v>
      </x:c>
      <x:c r="H28" s="8" t="s">
        <x:v>888</x:v>
      </x:c>
      <x:c r="I28" s="8" t="s">
        <x:v>889</x:v>
      </x:c>
      <x:c r="J28" s="8" t="s">
        <x:v>890</x:v>
      </x:c>
      <x:c r="K28" s="14" t="s">
        <x:v>884</x:v>
      </x:c>
      <x:c r="L28" s="14" t="s">
        <x:v>40</x:v>
      </x:c>
      <x:c r="M28" s="14" t="s">
        <x:v>91</x:v>
      </x:c>
      <x:c r="N28" s="14" t="s">
        <x:v>505</x:v>
      </x:c>
      <x:c r="O28" s="8" t="s">
        <x:v>652</x:v>
      </x:c>
      <x:c r="P28" s="8" t="s">
        <x:v>507</x:v>
      </x:c>
      <x:c r="Q28" s="22" t="s">
        <x:v>480</x:v>
      </x:c>
    </x:row>
    <x:row r="29" ht="112" customHeight="1">
      <x:c r="A29" s="13" t="s">
        <x:v>653</x:v>
      </x:c>
      <x:c r="B29" s="14" t="s">
        <x:v>36</x:v>
      </x:c>
      <x:c r="C29" s="14" t="s">
        <x:v>342</x:v>
      </x:c>
      <x:c r="D29" s="14">
        <x:v>6</x:v>
      </x:c>
      <x:c r="E29" s="8" t="s">
        <x:v>638</x:v>
      </x:c>
      <x:c r="F29" s="14" t="s">
        <x:v>374</x:v>
      </x:c>
      <x:c r="G29" s="8" t="s">
        <x:v>832</x:v>
      </x:c>
      <x:c r="H29" s="8" t="s">
        <x:v>891</x:v>
      </x:c>
      <x:c r="I29" s="8" t="s">
        <x:v>892</x:v>
      </x:c>
      <x:c r="J29" s="8" t="s">
        <x:v>893</x:v>
      </x:c>
      <x:c r="K29" s="14" t="s">
        <x:v>884</x:v>
      </x:c>
      <x:c r="L29" s="14" t="s">
        <x:v>40</x:v>
      </x:c>
      <x:c r="M29" s="14" t="s">
        <x:v>91</x:v>
      </x:c>
      <x:c r="N29" s="14" t="s">
        <x:v>505</x:v>
      </x:c>
      <x:c r="O29" s="8" t="s">
        <x:v>525</x:v>
      </x:c>
      <x:c r="P29" s="8" t="s">
        <x:v>507</x:v>
      </x:c>
      <x:c r="Q29" s="22" t="s">
        <x:v>480</x:v>
      </x:c>
    </x:row>
    <x:row r="30" ht="112" customHeight="1">
      <x:c r="A30" s="13" t="s">
        <x:v>657</x:v>
      </x:c>
      <x:c r="B30" s="14" t="s">
        <x:v>36</x:v>
      </x:c>
      <x:c r="C30" s="14" t="s">
        <x:v>342</x:v>
      </x:c>
      <x:c r="D30" s="14">
        <x:v>7</x:v>
      </x:c>
      <x:c r="E30" s="8" t="s">
        <x:v>658</x:v>
      </x:c>
      <x:c r="F30" s="14" t="s">
        <x:v>374</x:v>
      </x:c>
      <x:c r="G30" s="8" t="s">
        <x:v>894</x:v>
      </x:c>
      <x:c r="H30" s="8" t="s">
        <x:v>895</x:v>
      </x:c>
      <x:c r="I30" s="8" t="s">
        <x:v>896</x:v>
      </x:c>
      <x:c r="J30" s="8" t="s">
        <x:v>662</x:v>
      </x:c>
      <x:c r="K30" s="14" t="s">
        <x:v>897</x:v>
      </x:c>
      <x:c r="L30" s="14" t="s">
        <x:v>40</x:v>
      </x:c>
      <x:c r="M30" s="14" t="s">
        <x:v>91</x:v>
      </x:c>
      <x:c r="N30" s="14" t="s">
        <x:v>102</x:v>
      </x:c>
      <x:c r="O30" s="8" t="s">
        <x:v>91</x:v>
      </x:c>
      <x:c r="P30" s="8" t="s">
        <x:v>613</x:v>
      </x:c>
      <x:c r="Q30" s="22" t="s">
        <x:v>480</x:v>
      </x:c>
    </x:row>
    <x:row r="31" ht="112" customHeight="1">
      <x:c r="A31" s="13" t="s">
        <x:v>664</x:v>
      </x:c>
      <x:c r="B31" s="14" t="s">
        <x:v>36</x:v>
      </x:c>
      <x:c r="C31" s="14" t="s">
        <x:v>342</x:v>
      </x:c>
      <x:c r="D31" s="14">
        <x:v>8</x:v>
      </x:c>
      <x:c r="E31" s="8" t="s">
        <x:v>665</x:v>
      </x:c>
      <x:c r="F31" s="14" t="s">
        <x:v>374</x:v>
      </x:c>
      <x:c r="G31" s="8" t="s">
        <x:v>898</x:v>
      </x:c>
      <x:c r="H31" s="8" t="s">
        <x:v>899</x:v>
      </x:c>
      <x:c r="I31" s="8" t="s">
        <x:v>900</x:v>
      </x:c>
      <x:c r="J31" s="8" t="s">
        <x:v>669</x:v>
      </x:c>
      <x:c r="K31" s="14" t="s">
        <x:v>901</x:v>
      </x:c>
      <x:c r="L31" s="14" t="s">
        <x:v>40</x:v>
      </x:c>
      <x:c r="M31" s="14" t="s">
        <x:v>91</x:v>
      </x:c>
      <x:c r="N31" s="14" t="s">
        <x:v>611</x:v>
      </x:c>
      <x:c r="O31" s="8" t="s">
        <x:v>671</x:v>
      </x:c>
      <x:c r="P31" s="8" t="s">
        <x:v>672</x:v>
      </x:c>
      <x:c r="Q31" s="22" t="s">
        <x:v>480</x:v>
      </x:c>
    </x:row>
    <x:row r="32" ht="112" customHeight="1">
      <x:c r="A32" s="13" t="s">
        <x:v>673</x:v>
      </x:c>
      <x:c r="B32" s="14" t="s">
        <x:v>37</x:v>
      </x:c>
      <x:c r="C32" s="14" t="s">
        <x:v>383</x:v>
      </x:c>
      <x:c r="D32" s="14">
        <x:v>1</x:v>
      </x:c>
      <x:c r="E32" s="8" t="s">
        <x:v>473</x:v>
      </x:c>
      <x:c r="F32" s="14" t="s">
        <x:v>382</x:v>
      </x:c>
      <x:c r="G32" s="8" t="s">
        <x:v>902</x:v>
      </x:c>
      <x:c r="H32" s="8" t="s">
        <x:v>903</x:v>
      </x:c>
      <x:c r="I32" s="8" t="s">
        <x:v>904</x:v>
      </x:c>
      <x:c r="J32" s="8" t="s">
        <x:v>677</x:v>
      </x:c>
      <x:c r="K32" s="14" t="s">
        <x:v>124</x:v>
      </x:c>
      <x:c r="L32" s="14" t="s">
        <x:v>40</x:v>
      </x:c>
      <x:c r="M32" s="14" t="s">
        <x:v>91</x:v>
      </x:c>
      <x:c r="N32" s="14" t="s">
        <x:v>550</x:v>
      </x:c>
      <x:c r="O32" s="8" t="s">
        <x:v>678</x:v>
      </x:c>
      <x:c r="P32" s="8" t="s">
        <x:v>622</x:v>
      </x:c>
      <x:c r="Q32" s="22" t="s">
        <x:v>679</x:v>
      </x:c>
    </x:row>
    <x:row r="33" ht="112" customHeight="1">
      <x:c r="A33" s="13" t="s">
        <x:v>680</x:v>
      </x:c>
      <x:c r="B33" s="14" t="s">
        <x:v>37</x:v>
      </x:c>
      <x:c r="C33" s="14" t="s">
        <x:v>383</x:v>
      </x:c>
      <x:c r="D33" s="14">
        <x:v>2</x:v>
      </x:c>
      <x:c r="E33" s="8" t="s">
        <x:v>681</x:v>
      </x:c>
      <x:c r="F33" s="14" t="s">
        <x:v>382</x:v>
      </x:c>
      <x:c r="G33" s="8" t="s">
        <x:v>905</x:v>
      </x:c>
      <x:c r="H33" s="8" t="s">
        <x:v>906</x:v>
      </x:c>
      <x:c r="I33" s="8" t="s">
        <x:v>907</x:v>
      </x:c>
      <x:c r="J33" s="8" t="s">
        <x:v>685</x:v>
      </x:c>
      <x:c r="K33" s="14" t="s">
        <x:v>908</x:v>
      </x:c>
      <x:c r="L33" s="14" t="s">
        <x:v>40</x:v>
      </x:c>
      <x:c r="M33" s="14" t="s">
        <x:v>91</x:v>
      </x:c>
      <x:c r="N33" s="14" t="s">
        <x:v>550</x:v>
      </x:c>
      <x:c r="O33" s="8" t="s">
        <x:v>687</x:v>
      </x:c>
      <x:c r="P33" s="8" t="s">
        <x:v>622</x:v>
      </x:c>
      <x:c r="Q33" s="22" t="s">
        <x:v>688</x:v>
      </x:c>
    </x:row>
    <x:row r="34" ht="112" customHeight="1">
      <x:c r="A34" s="13" t="s">
        <x:v>689</x:v>
      </x:c>
      <x:c r="B34" s="14" t="s">
        <x:v>38</x:v>
      </x:c>
      <x:c r="C34" s="14" t="s">
        <x:v>391</x:v>
      </x:c>
      <x:c r="D34" s="14">
        <x:v>1</x:v>
      </x:c>
      <x:c r="E34" s="8" t="s">
        <x:v>473</x:v>
      </x:c>
      <x:c r="F34" s="14" t="s">
        <x:v>390</x:v>
      </x:c>
      <x:c r="G34" s="8" t="s">
        <x:v>909</x:v>
      </x:c>
      <x:c r="H34" s="8" t="s">
        <x:v>910</x:v>
      </x:c>
      <x:c r="I34" s="8" t="s">
        <x:v>911</x:v>
      </x:c>
      <x:c r="J34" s="8" t="s">
        <x:v>693</x:v>
      </x:c>
      <x:c r="K34" s="14" t="s">
        <x:v>912</x:v>
      </x:c>
      <x:c r="L34" s="14" t="s">
        <x:v>40</x:v>
      </x:c>
      <x:c r="M34" s="14" t="s">
        <x:v>91</x:v>
      </x:c>
      <x:c r="N34" s="14" t="s">
        <x:v>695</x:v>
      </x:c>
      <x:c r="O34" s="8" t="s">
        <x:v>696</x:v>
      </x:c>
      <x:c r="P34" s="8" t="s">
        <x:v>396</x:v>
      </x:c>
      <x:c r="Q34" s="22" t="s">
        <x:v>480</x:v>
      </x:c>
    </x:row>
    <x:row r="35" ht="112" customHeight="1">
      <x:c r="A35" s="13" t="s">
        <x:v>697</x:v>
      </x:c>
      <x:c r="B35" s="14" t="s">
        <x:v>38</x:v>
      </x:c>
      <x:c r="C35" s="14" t="s">
        <x:v>391</x:v>
      </x:c>
      <x:c r="D35" s="14">
        <x:v>2</x:v>
      </x:c>
      <x:c r="E35" s="8" t="s">
        <x:v>698</x:v>
      </x:c>
      <x:c r="F35" s="14" t="s">
        <x:v>390</x:v>
      </x:c>
      <x:c r="G35" s="8" t="s">
        <x:v>913</x:v>
      </x:c>
      <x:c r="H35" s="8" t="s">
        <x:v>914</x:v>
      </x:c>
      <x:c r="I35" s="8" t="s">
        <x:v>915</x:v>
      </x:c>
      <x:c r="J35" s="8" t="s">
        <x:v>702</x:v>
      </x:c>
      <x:c r="K35" s="14" t="s">
        <x:v>145</x:v>
      </x:c>
      <x:c r="L35" s="14" t="s">
        <x:v>39</x:v>
      </x:c>
      <x:c r="M35" s="14" t="s">
        <x:v>91</x:v>
      </x:c>
      <x:c r="N35" s="14" t="s">
        <x:v>703</x:v>
      </x:c>
      <x:c r="O35" s="8" t="s">
        <x:v>704</x:v>
      </x:c>
      <x:c r="P35" s="8" t="s">
        <x:v>396</x:v>
      </x:c>
      <x:c r="Q35" s="22" t="s">
        <x:v>705</x:v>
      </x:c>
    </x:row>
    <x:row r="36" ht="112" customHeight="1">
      <x:c r="A36" s="13" t="s">
        <x:v>706</x:v>
      </x:c>
      <x:c r="B36" s="14" t="s">
        <x:v>39</x:v>
      </x:c>
      <x:c r="C36" s="14" t="s">
        <x:v>391</x:v>
      </x:c>
      <x:c r="D36" s="14">
        <x:v>1</x:v>
      </x:c>
      <x:c r="E36" s="8" t="s">
        <x:v>707</x:v>
      </x:c>
      <x:c r="F36" s="14" t="s">
        <x:v>398</x:v>
      </x:c>
      <x:c r="G36" s="8" t="s">
        <x:v>913</x:v>
      </x:c>
      <x:c r="H36" s="8" t="s">
        <x:v>916</x:v>
      </x:c>
      <x:c r="I36" s="8" t="s">
        <x:v>917</x:v>
      </x:c>
      <x:c r="J36" s="8" t="s">
        <x:v>710</x:v>
      </x:c>
      <x:c r="K36" s="14" t="s">
        <x:v>918</x:v>
      </x:c>
      <x:c r="L36" s="14" t="s">
        <x:v>40</x:v>
      </x:c>
      <x:c r="M36" s="14" t="s">
        <x:v>919</x:v>
      </x:c>
      <x:c r="N36" s="14" t="s">
        <x:v>703</x:v>
      </x:c>
      <x:c r="O36" s="8" t="s">
        <x:v>713</x:v>
      </x:c>
      <x:c r="P36" s="8" t="s">
        <x:v>396</x:v>
      </x:c>
      <x:c r="Q36" s="22" t="s">
        <x:v>705</x:v>
      </x:c>
    </x:row>
    <x:row r="37" ht="112" customHeight="1">
      <x:c r="A37" s="13" t="s">
        <x:v>714</x:v>
      </x:c>
      <x:c r="B37" s="14" t="s">
        <x:v>40</x:v>
      </x:c>
      <x:c r="C37" s="14" t="s">
        <x:v>342</x:v>
      </x:c>
      <x:c r="D37" s="14">
        <x:v>1</x:v>
      </x:c>
      <x:c r="E37" s="8" t="s">
        <x:v>473</x:v>
      </x:c>
      <x:c r="F37" s="14" t="s">
        <x:v>406</x:v>
      </x:c>
      <x:c r="G37" s="8" t="s">
        <x:v>920</x:v>
      </x:c>
      <x:c r="H37" s="8" t="s">
        <x:v>921</x:v>
      </x:c>
      <x:c r="I37" s="8" t="s">
        <x:v>922</x:v>
      </x:c>
      <x:c r="J37" s="8" t="s">
        <x:v>718</x:v>
      </x:c>
      <x:c r="K37" s="14" t="s">
        <x:v>138</x:v>
      </x:c>
      <x:c r="L37" s="14" t="s">
        <x:v>719</x:v>
      </x:c>
      <x:c r="M37" s="14" t="s">
        <x:v>91</x:v>
      </x:c>
      <x:c r="N37" s="14" t="s">
        <x:v>102</x:v>
      </x:c>
      <x:c r="O37" s="8" t="s">
        <x:v>91</x:v>
      </x:c>
      <x:c r="P37" s="8" t="s">
        <x:v>720</x:v>
      </x:c>
      <x:c r="Q37" s="22" t="s">
        <x:v>480</x:v>
      </x:c>
    </x:row>
    <x:row r="38" ht="112" customHeight="1">
      <x:c r="A38" s="13" t="s">
        <x:v>721</x:v>
      </x:c>
      <x:c r="B38" s="14" t="s">
        <x:v>40</x:v>
      </x:c>
      <x:c r="C38" s="14" t="s">
        <x:v>342</x:v>
      </x:c>
      <x:c r="D38" s="14">
        <x:v>2</x:v>
      </x:c>
      <x:c r="E38" s="8" t="s">
        <x:v>722</x:v>
      </x:c>
      <x:c r="F38" s="14" t="s">
        <x:v>406</x:v>
      </x:c>
      <x:c r="G38" s="8" t="s">
        <x:v>923</x:v>
      </x:c>
      <x:c r="H38" s="8" t="s">
        <x:v>924</x:v>
      </x:c>
      <x:c r="I38" s="8" t="s">
        <x:v>925</x:v>
      </x:c>
      <x:c r="J38" s="8" t="s">
        <x:v>726</x:v>
      </x:c>
      <x:c r="K38" s="14" t="s">
        <x:v>926</x:v>
      </x:c>
      <x:c r="L38" s="14" t="s">
        <x:v>139</x:v>
      </x:c>
      <x:c r="M38" s="14" t="s">
        <x:v>91</x:v>
      </x:c>
      <x:c r="N38" s="14" t="s">
        <x:v>102</x:v>
      </x:c>
      <x:c r="O38" s="8" t="s">
        <x:v>91</x:v>
      </x:c>
      <x:c r="P38" s="8" t="s">
        <x:v>613</x:v>
      </x:c>
      <x:c r="Q38" s="22" t="s">
        <x:v>480</x:v>
      </x:c>
    </x:row>
    <x:row r="39" ht="112" customHeight="1">
      <x:c r="A39" s="13" t="s">
        <x:v>728</x:v>
      </x:c>
      <x:c r="B39" s="14" t="s">
        <x:v>40</x:v>
      </x:c>
      <x:c r="C39" s="14" t="s">
        <x:v>342</x:v>
      </x:c>
      <x:c r="D39" s="14">
        <x:v>3</x:v>
      </x:c>
      <x:c r="E39" s="8" t="s">
        <x:v>729</x:v>
      </x:c>
      <x:c r="F39" s="14" t="s">
        <x:v>406</x:v>
      </x:c>
      <x:c r="G39" s="8" t="s">
        <x:v>927</x:v>
      </x:c>
      <x:c r="H39" s="8" t="s">
        <x:v>928</x:v>
      </x:c>
      <x:c r="I39" s="8" t="s">
        <x:v>929</x:v>
      </x:c>
      <x:c r="J39" s="8" t="s">
        <x:v>733</x:v>
      </x:c>
      <x:c r="K39" s="14" t="s">
        <x:v>124</x:v>
      </x:c>
      <x:c r="L39" s="14" t="s">
        <x:v>719</x:v>
      </x:c>
      <x:c r="M39" s="14" t="s">
        <x:v>91</x:v>
      </x:c>
      <x:c r="N39" s="14" t="s">
        <x:v>734</x:v>
      </x:c>
      <x:c r="O39" s="8" t="s">
        <x:v>735</x:v>
      </x:c>
      <x:c r="P39" s="8" t="s">
        <x:v>736</x:v>
      </x:c>
      <x:c r="Q39" s="22" t="s">
        <x:v>480</x:v>
      </x:c>
    </x:row>
    <x:row r="40" ht="112" customHeight="1">
      <x:c r="A40" s="13" t="s">
        <x:v>737</x:v>
      </x:c>
      <x:c r="B40" s="14" t="s">
        <x:v>40</x:v>
      </x:c>
      <x:c r="C40" s="14" t="s">
        <x:v>342</x:v>
      </x:c>
      <x:c r="D40" s="14">
        <x:v>4</x:v>
      </x:c>
      <x:c r="E40" s="8" t="s">
        <x:v>738</x:v>
      </x:c>
      <x:c r="F40" s="14" t="s">
        <x:v>406</x:v>
      </x:c>
      <x:c r="G40" s="8" t="s">
        <x:v>930</x:v>
      </x:c>
      <x:c r="H40" s="8" t="s">
        <x:v>931</x:v>
      </x:c>
      <x:c r="I40" s="8" t="s">
        <x:v>257</x:v>
      </x:c>
      <x:c r="J40" s="8" t="s">
        <x:v>741</x:v>
      </x:c>
      <x:c r="K40" s="14" t="s">
        <x:v>932</x:v>
      </x:c>
      <x:c r="L40" s="14" t="s">
        <x:v>139</x:v>
      </x:c>
      <x:c r="M40" s="14" t="s">
        <x:v>91</x:v>
      </x:c>
      <x:c r="N40" s="14" t="s">
        <x:v>102</x:v>
      </x:c>
      <x:c r="O40" s="8" t="s">
        <x:v>91</x:v>
      </x:c>
      <x:c r="P40" s="8" t="s">
        <x:v>613</x:v>
      </x:c>
      <x:c r="Q40" s="22" t="s">
        <x:v>480</x:v>
      </x:c>
    </x:row>
    <x:row r="41" ht="112" customHeight="1">
      <x:c r="A41" s="13" t="s">
        <x:v>743</x:v>
      </x:c>
      <x:c r="B41" s="14" t="s">
        <x:v>40</x:v>
      </x:c>
      <x:c r="C41" s="14" t="s">
        <x:v>342</x:v>
      </x:c>
      <x:c r="D41" s="14">
        <x:v>5</x:v>
      </x:c>
      <x:c r="E41" s="8" t="s">
        <x:v>744</x:v>
      </x:c>
      <x:c r="F41" s="14" t="s">
        <x:v>406</x:v>
      </x:c>
      <x:c r="G41" s="8" t="s">
        <x:v>933</x:v>
      </x:c>
      <x:c r="H41" s="8" t="s">
        <x:v>934</x:v>
      </x:c>
      <x:c r="I41" s="8" t="s">
        <x:v>935</x:v>
      </x:c>
      <x:c r="J41" s="8" t="s">
        <x:v>748</x:v>
      </x:c>
      <x:c r="K41" s="14" t="s">
        <x:v>91</x:v>
      </x:c>
      <x:c r="L41" s="14" t="s">
        <x:v>91</x:v>
      </x:c>
      <x:c r="M41" s="14" t="s">
        <x:v>91</x:v>
      </x:c>
      <x:c r="N41" s="14" t="s">
        <x:v>199</x:v>
      </x:c>
      <x:c r="O41" s="8" t="s">
        <x:v>749</x:v>
      </x:c>
      <x:c r="P41" s="8" t="s">
        <x:v>201</x:v>
      </x:c>
      <x:c r="Q41" s="22" t="s">
        <x:v>750</x:v>
      </x:c>
    </x:row>
    <x:row r="42" ht="112" customHeight="1">
      <x:c r="A42" s="13" t="s">
        <x:v>751</x:v>
      </x:c>
      <x:c r="B42" s="14" t="s">
        <x:v>414</x:v>
      </x:c>
      <x:c r="C42" s="14" t="s">
        <x:v>415</x:v>
      </x:c>
      <x:c r="D42" s="14">
        <x:v>1</x:v>
      </x:c>
      <x:c r="E42" s="8" t="s">
        <x:v>752</x:v>
      </x:c>
      <x:c r="F42" s="14" t="s">
        <x:v>413</x:v>
      </x:c>
      <x:c r="G42" s="8" t="s">
        <x:v>936</x:v>
      </x:c>
      <x:c r="H42" s="8" t="s">
        <x:v>937</x:v>
      </x:c>
      <x:c r="I42" s="8" t="s">
        <x:v>938</x:v>
      </x:c>
      <x:c r="J42" s="8" t="s">
        <x:v>756</x:v>
      </x:c>
      <x:c r="K42" s="14" t="s">
        <x:v>901</x:v>
      </x:c>
      <x:c r="L42" s="14" t="s">
        <x:v>40</x:v>
      </x:c>
      <x:c r="M42" s="14" t="s">
        <x:v>939</x:v>
      </x:c>
      <x:c r="N42" s="14" t="s">
        <x:v>758</x:v>
      </x:c>
      <x:c r="O42" s="8" t="s">
        <x:v>759</x:v>
      </x:c>
      <x:c r="P42" s="8" t="s">
        <x:v>760</x:v>
      </x:c>
      <x:c r="Q42" s="22" t="s">
        <x:v>761</x:v>
      </x:c>
    </x:row>
    <x:row r="43" ht="112" customHeight="1">
      <x:c r="A43" s="13" t="s">
        <x:v>762</x:v>
      </x:c>
      <x:c r="B43" s="14" t="s">
        <x:v>422</x:v>
      </x:c>
      <x:c r="C43" s="14" t="s">
        <x:v>415</x:v>
      </x:c>
      <x:c r="D43" s="14">
        <x:v>1</x:v>
      </x:c>
      <x:c r="E43" s="8" t="s">
        <x:v>752</x:v>
      </x:c>
      <x:c r="F43" s="14" t="s">
        <x:v>421</x:v>
      </x:c>
      <x:c r="G43" s="8" t="s">
        <x:v>940</x:v>
      </x:c>
      <x:c r="H43" s="8" t="s">
        <x:v>941</x:v>
      </x:c>
      <x:c r="I43" s="8" t="s">
        <x:v>942</x:v>
      </x:c>
      <x:c r="J43" s="8" t="s">
        <x:v>766</x:v>
      </x:c>
      <x:c r="K43" s="14" t="s">
        <x:v>901</x:v>
      </x:c>
      <x:c r="L43" s="14" t="s">
        <x:v>40</x:v>
      </x:c>
      <x:c r="M43" s="14" t="s">
        <x:v>939</x:v>
      </x:c>
      <x:c r="N43" s="14" t="s">
        <x:v>758</x:v>
      </x:c>
      <x:c r="O43" s="8" t="s">
        <x:v>767</x:v>
      </x:c>
      <x:c r="P43" s="8" t="s">
        <x:v>760</x:v>
      </x:c>
      <x:c r="Q43" s="22" t="s">
        <x:v>761</x:v>
      </x:c>
    </x:row>
    <x:row r="44" ht="112" customHeight="1">
      <x:c r="A44" s="13" t="s">
        <x:v>768</x:v>
      </x:c>
      <x:c r="B44" s="14" t="s">
        <x:v>429</x:v>
      </x:c>
      <x:c r="C44" s="14" t="s">
        <x:v>415</x:v>
      </x:c>
      <x:c r="D44" s="14">
        <x:v>1</x:v>
      </x:c>
      <x:c r="E44" s="8" t="s">
        <x:v>752</x:v>
      </x:c>
      <x:c r="F44" s="14" t="s">
        <x:v>428</x:v>
      </x:c>
      <x:c r="G44" s="8" t="s">
        <x:v>943</x:v>
      </x:c>
      <x:c r="H44" s="8" t="s">
        <x:v>944</x:v>
      </x:c>
      <x:c r="I44" s="8" t="s">
        <x:v>945</x:v>
      </x:c>
      <x:c r="J44" s="8" t="s">
        <x:v>772</x:v>
      </x:c>
      <x:c r="K44" s="14" t="s">
        <x:v>901</x:v>
      </x:c>
      <x:c r="L44" s="14" t="s">
        <x:v>40</x:v>
      </x:c>
      <x:c r="M44" s="14" t="s">
        <x:v>939</x:v>
      </x:c>
      <x:c r="N44" s="14" t="s">
        <x:v>758</x:v>
      </x:c>
      <x:c r="O44" s="8" t="s">
        <x:v>773</x:v>
      </x:c>
      <x:c r="P44" s="8" t="s">
        <x:v>760</x:v>
      </x:c>
      <x:c r="Q44" s="22" t="s">
        <x:v>761</x:v>
      </x:c>
    </x:row>
    <x:row r="45" ht="112" customHeight="1">
      <x:c r="A45" s="13" t="s">
        <x:v>774</x:v>
      </x:c>
      <x:c r="B45" s="14" t="s">
        <x:v>435</x:v>
      </x:c>
      <x:c r="C45" s="14" t="s">
        <x:v>415</x:v>
      </x:c>
      <x:c r="D45" s="14">
        <x:v>1</x:v>
      </x:c>
      <x:c r="E45" s="8" t="s">
        <x:v>752</x:v>
      </x:c>
      <x:c r="F45" s="14" t="s">
        <x:v>434</x:v>
      </x:c>
      <x:c r="G45" s="8" t="s">
        <x:v>946</x:v>
      </x:c>
      <x:c r="H45" s="8" t="s">
        <x:v>947</x:v>
      </x:c>
      <x:c r="I45" s="8" t="s">
        <x:v>948</x:v>
      </x:c>
      <x:c r="J45" s="8" t="s">
        <x:v>778</x:v>
      </x:c>
      <x:c r="K45" s="14" t="s">
        <x:v>901</x:v>
      </x:c>
      <x:c r="L45" s="14" t="s">
        <x:v>40</x:v>
      </x:c>
      <x:c r="M45" s="14" t="s">
        <x:v>939</x:v>
      </x:c>
      <x:c r="N45" s="14" t="s">
        <x:v>758</x:v>
      </x:c>
      <x:c r="O45" s="8" t="s">
        <x:v>779</x:v>
      </x:c>
      <x:c r="P45" s="8" t="s">
        <x:v>760</x:v>
      </x:c>
      <x:c r="Q45" s="22" t="s">
        <x:v>761</x:v>
      </x:c>
    </x:row>
    <x:row r="46" ht="112" customHeight="1">
      <x:c r="A46" s="13" t="s">
        <x:v>780</x:v>
      </x:c>
      <x:c r="B46" s="14" t="s">
        <x:v>42</x:v>
      </x:c>
      <x:c r="C46" s="14" t="s">
        <x:v>415</x:v>
      </x:c>
      <x:c r="D46" s="14">
        <x:v>1</x:v>
      </x:c>
      <x:c r="E46" s="8" t="s">
        <x:v>781</x:v>
      </x:c>
      <x:c r="F46" s="14" t="s">
        <x:v>440</x:v>
      </x:c>
      <x:c r="G46" s="8" t="s">
        <x:v>949</x:v>
      </x:c>
      <x:c r="H46" s="8" t="s">
        <x:v>950</x:v>
      </x:c>
      <x:c r="I46" s="8" t="s">
        <x:v>951</x:v>
      </x:c>
      <x:c r="J46" s="8" t="s">
        <x:v>785</x:v>
      </x:c>
      <x:c r="K46" s="14" t="s">
        <x:v>952</x:v>
      </x:c>
      <x:c r="L46" s="14" t="s">
        <x:v>40</x:v>
      </x:c>
      <x:c r="M46" s="14" t="s">
        <x:v>132</x:v>
      </x:c>
      <x:c r="N46" s="14" t="s">
        <x:v>787</x:v>
      </x:c>
      <x:c r="O46" s="8" t="s">
        <x:v>788</x:v>
      </x:c>
      <x:c r="P46" s="8" t="s">
        <x:v>789</x:v>
      </x:c>
      <x:c r="Q46" s="22" t="s">
        <x:v>705</x:v>
      </x:c>
    </x:row>
    <x:row r="47" ht="112" customHeight="1">
      <x:c r="A47" s="13" t="s">
        <x:v>790</x:v>
      </x:c>
      <x:c r="B47" s="14" t="s">
        <x:v>43</x:v>
      </x:c>
      <x:c r="C47" s="14" t="s">
        <x:v>448</x:v>
      </x:c>
      <x:c r="D47" s="14">
        <x:v>1</x:v>
      </x:c>
      <x:c r="E47" s="8" t="s">
        <x:v>791</x:v>
      </x:c>
      <x:c r="F47" s="14" t="s">
        <x:v>447</x:v>
      </x:c>
      <x:c r="G47" s="8" t="s">
        <x:v>953</x:v>
      </x:c>
      <x:c r="H47" s="8" t="s">
        <x:v>954</x:v>
      </x:c>
      <x:c r="I47" s="8" t="s">
        <x:v>955</x:v>
      </x:c>
      <x:c r="J47" s="8" t="s">
        <x:v>795</x:v>
      </x:c>
      <x:c r="K47" s="14" t="s">
        <x:v>91</x:v>
      </x:c>
      <x:c r="L47" s="14" t="s">
        <x:v>91</x:v>
      </x:c>
      <x:c r="M47" s="14" t="s">
        <x:v>91</x:v>
      </x:c>
      <x:c r="N47" s="14" t="s">
        <x:v>796</x:v>
      </x:c>
      <x:c r="O47" s="8" t="s">
        <x:v>797</x:v>
      </x:c>
      <x:c r="P47" s="8" t="s">
        <x:v>798</x:v>
      </x:c>
      <x:c r="Q47" s="22" t="s">
        <x:v>799</x:v>
      </x:c>
    </x:row>
    <x:row r="48" ht="112" customHeight="1">
      <x:c r="A48" s="15" t="s">
        <x:v>800</x:v>
      </x:c>
      <x:c r="B48" s="16" t="s">
        <x:v>44</x:v>
      </x:c>
      <x:c r="C48" s="16" t="s">
        <x:v>448</x:v>
      </x:c>
      <x:c r="D48" s="16">
        <x:v>1</x:v>
      </x:c>
      <x:c r="E48" s="11" t="s">
        <x:v>801</x:v>
      </x:c>
      <x:c r="F48" s="16" t="s">
        <x:v>454</x:v>
      </x:c>
      <x:c r="G48" s="11" t="s">
        <x:v>956</x:v>
      </x:c>
      <x:c r="H48" s="11" t="s">
        <x:v>957</x:v>
      </x:c>
      <x:c r="I48" s="11" t="s">
        <x:v>958</x:v>
      </x:c>
      <x:c r="J48" s="11" t="s">
        <x:v>805</x:v>
      </x:c>
      <x:c r="K48" s="16" t="s">
        <x:v>91</x:v>
      </x:c>
      <x:c r="L48" s="16" t="s">
        <x:v>91</x:v>
      </x:c>
      <x:c r="M48" s="16" t="s">
        <x:v>91</x:v>
      </x:c>
      <x:c r="N48" s="16" t="s">
        <x:v>796</x:v>
      </x:c>
      <x:c r="O48" s="11" t="s">
        <x:v>806</x:v>
      </x:c>
      <x:c r="P48" s="11" t="s">
        <x:v>807</x:v>
      </x:c>
      <x:c r="Q48" s="23" t="s">
        <x:v>799</x:v>
      </x:c>
    </x:row>
    <x:row r="50" ht="28" customHeight="1">
      <x:c r="A50" s="17" t="s">
        <x:v>329</x:v>
      </x:c>
      <x:c r="B50" s="17"/>
      <x:c r="C50" s="17"/>
      <x:c r="D50" s="17"/>
      <x:c r="E50" s="17"/>
      <x:c r="F50" s="17"/>
      <x:c r="G50" s="17"/>
      <x:c r="H50" s="17"/>
      <x:c r="I50" s="17"/>
      <x:c r="J50" s="17"/>
      <x:c r="K50" s="17"/>
      <x:c r="L50" s="17"/>
      <x:c r="M50" s="17"/>
      <x:c r="N50" s="17"/>
      <x:c r="O50" s="17"/>
      <x:c r="P50" s="17"/>
      <x:c r="Q50" s="17"/>
    </x:row>
  </x:sheetData>
  <x:mergeCells>
    <x:mergeCell ref="A1:Q1"/>
    <x:mergeCell ref="A2:Q2"/>
    <x:mergeCell ref="A3:Q3"/>
    <x:mergeCell ref="A50:Q50"/>
  </x:mergeCells>
  <x:conditionalFormatting sqref="N5:N48">
    <x:cfRule type="expression" dxfId="0" priority="1">
      <x:formula>OR(ISNUMBER(SEARCH("TIDAK BOLEH",N5)),ISNUMBER(SEARCH("BLOCK",N5)))</x:formula>
    </x:cfRule>
    <x:cfRule type="expression" dxfId="1" priority="2">
      <x:formula>OR(ISNUMBER(SEARCH("PLACEHOLDER",N5)),ISNUMBER(SEARCH("BACKLOG",N5)),ISNUMBER(SEARCH("PENDING",N5)),ISNUMBER(SEARCH("PREVIEW",N5)))</x:formula>
    </x:cfRule>
    <x:cfRule type="expression" dxfId="2" priority="3">
      <x:formula>ISNUMBER(SEARCH("FINAL",N5))</x:formula>
    </x:cfRule>
  </x:conditionalFormatting>
  <x:conditionalFormatting sqref="Q5:Q48">
    <x:cfRule type="expression" dxfId="0" priority="4">
      <x:formula>ISNUMBER(SEARCH("BLOCKED",Q5))</x:formula>
    </x:cfRule>
    <x:cfRule type="expression" dxfId="2" priority="5">
      <x:formula>ISNUMBER(SEARCH("READY",Q5))</x:formula>
    </x:cfRule>
  </x:conditionalFormatting>
  <x:pageMargins left="0.7" right="0.7" top="0.75" bottom="0.75" header="0.3" footer="0.3"/>
  <x:tableParts count="1">
    <x:tablePart xmlns:r="http://schemas.openxmlformats.org/officeDocument/2006/relationships" r:id="R6a5a3eec66f5407f"/>
  </x:tableParts>
</x:worksheet>
</file>

<file path=xl/worksheets/sheet6.xml><?xml version="1.0" encoding="utf-8"?>
<x:worksheet xmlns:x="http://schemas.openxmlformats.org/spreadsheetml/2006/main">
  <x:sheetFormatPr defaultColWidth="9" defaultRowHeight="14"/>
  <x:cols>
    <x:col min="1" max="1" width="10" customWidth="1"/>
    <x:col min="2" max="2" width="44" customWidth="1"/>
    <x:col min="3" max="3" width="28" customWidth="1"/>
    <x:col min="4" max="5" width="44" customWidth="1"/>
    <x:col min="6" max="6" width="28" customWidth="1"/>
    <x:col min="7" max="7" width="42" customWidth="1"/>
    <x:col min="8" max="8" width="25" customWidth="1"/>
    <x:col min="9" max="10" width="28" customWidth="1"/>
  </x:cols>
  <x:sheetData>
    <x:row r="1" ht="36" customHeight="1">
      <x:c r="A1" s="1" t="s">
        <x:v>959</x:v>
      </x:c>
      <x:c r="B1" s="1"/>
      <x:c r="C1" s="1"/>
      <x:c r="D1" s="1"/>
      <x:c r="E1" s="1"/>
      <x:c r="F1" s="1"/>
      <x:c r="G1" s="1"/>
      <x:c r="H1" s="1"/>
      <x:c r="I1" s="1"/>
      <x:c r="J1" s="1"/>
    </x:row>
    <x:row r="2" ht="32" customHeight="1">
      <x:c r="A2" s="2" t="s">
        <x:v>960</x:v>
      </x:c>
      <x:c r="B2" s="2"/>
      <x:c r="C2" s="2"/>
      <x:c r="D2" s="2"/>
      <x:c r="E2" s="2"/>
      <x:c r="F2" s="2"/>
      <x:c r="G2" s="2"/>
      <x:c r="H2" s="2"/>
      <x:c r="I2" s="2"/>
      <x:c r="J2" s="2"/>
    </x:row>
    <x:row r="3" ht="28" customHeight="1">
      <x:c r="A3" s="3" t="s">
        <x:v>75</x:v>
      </x:c>
      <x:c r="B3" s="3"/>
      <x:c r="C3" s="3"/>
      <x:c r="D3" s="3"/>
      <x:c r="E3" s="3"/>
      <x:c r="F3" s="3"/>
      <x:c r="G3" s="3"/>
      <x:c r="H3" s="3"/>
      <x:c r="I3" s="3"/>
      <x:c r="J3" s="3"/>
    </x:row>
    <x:row r="4" ht="34" customHeight="1">
      <x:c r="A4" s="4" t="s">
        <x:v>76</x:v>
      </x:c>
      <x:c r="B4" s="5" t="s">
        <x:v>961</x:v>
      </x:c>
      <x:c r="C4" s="5" t="s">
        <x:v>962</x:v>
      </x:c>
      <x:c r="D4" s="5" t="s">
        <x:v>963</x:v>
      </x:c>
      <x:c r="E4" s="5" t="s">
        <x:v>964</x:v>
      </x:c>
      <x:c r="F4" s="5" t="s">
        <x:v>965</x:v>
      </x:c>
      <x:c r="G4" s="5" t="s">
        <x:v>966</x:v>
      </x:c>
      <x:c r="H4" s="5" t="s">
        <x:v>967</x:v>
      </x:c>
      <x:c r="I4" s="5" t="s">
        <x:v>968</x:v>
      </x:c>
      <x:c r="J4" s="6" t="s">
        <x:v>969</x:v>
      </x:c>
    </x:row>
    <x:row r="5" ht="84" customHeight="1">
      <x:c r="A5" s="13" t="s">
        <x:v>970</x:v>
      </x:c>
      <x:c r="B5" s="8" t="s">
        <x:v>971</x:v>
      </x:c>
      <x:c r="C5" s="14" t="s">
        <x:v>972</x:v>
      </x:c>
      <x:c r="D5" s="8" t="s">
        <x:v>973</x:v>
      </x:c>
      <x:c r="E5" s="8" t="s">
        <x:v>974</x:v>
      </x:c>
      <x:c r="F5" s="14" t="s">
        <x:v>975</x:v>
      </x:c>
      <x:c r="G5" s="8" t="s">
        <x:v>976</x:v>
      </x:c>
      <x:c r="H5" s="14" t="s">
        <x:v>977</x:v>
      </x:c>
      <x:c r="I5" s="14" t="s">
        <x:v>978</x:v>
      </x:c>
      <x:c r="J5" s="9" t="s">
        <x:v>201</x:v>
      </x:c>
    </x:row>
    <x:row r="6" ht="84" customHeight="1">
      <x:c r="A6" s="13" t="s">
        <x:v>979</x:v>
      </x:c>
      <x:c r="B6" s="8" t="s">
        <x:v>980</x:v>
      </x:c>
      <x:c r="C6" s="14" t="s">
        <x:v>972</x:v>
      </x:c>
      <x:c r="D6" s="8" t="s">
        <x:v>981</x:v>
      </x:c>
      <x:c r="E6" s="8" t="s">
        <x:v>982</x:v>
      </x:c>
      <x:c r="F6" s="14" t="s">
        <x:v>983</x:v>
      </x:c>
      <x:c r="G6" s="8" t="s">
        <x:v>984</x:v>
      </x:c>
      <x:c r="H6" s="14" t="s">
        <x:v>977</x:v>
      </x:c>
      <x:c r="I6" s="14" t="s">
        <x:v>978</x:v>
      </x:c>
      <x:c r="J6" s="9" t="s">
        <x:v>216</x:v>
      </x:c>
    </x:row>
    <x:row r="7" ht="84" customHeight="1">
      <x:c r="A7" s="13" t="s">
        <x:v>985</x:v>
      </x:c>
      <x:c r="B7" s="8" t="s">
        <x:v>986</x:v>
      </x:c>
      <x:c r="C7" s="14" t="s">
        <x:v>987</x:v>
      </x:c>
      <x:c r="D7" s="8" t="s">
        <x:v>988</x:v>
      </x:c>
      <x:c r="E7" s="8" t="s">
        <x:v>989</x:v>
      </x:c>
      <x:c r="F7" s="14" t="s">
        <x:v>990</x:v>
      </x:c>
      <x:c r="G7" s="8" t="s">
        <x:v>991</x:v>
      </x:c>
      <x:c r="H7" s="14" t="s">
        <x:v>992</x:v>
      </x:c>
      <x:c r="I7" s="14" t="s">
        <x:v>993</x:v>
      </x:c>
      <x:c r="J7" s="9" t="s">
        <x:v>216</x:v>
      </x:c>
    </x:row>
    <x:row r="8" ht="84" customHeight="1">
      <x:c r="A8" s="13" t="s">
        <x:v>994</x:v>
      </x:c>
      <x:c r="B8" s="8" t="s">
        <x:v>995</x:v>
      </x:c>
      <x:c r="C8" s="14" t="s">
        <x:v>972</x:v>
      </x:c>
      <x:c r="D8" s="8" t="s">
        <x:v>996</x:v>
      </x:c>
      <x:c r="E8" s="8" t="s">
        <x:v>997</x:v>
      </x:c>
      <x:c r="F8" s="14" t="s">
        <x:v>998</x:v>
      </x:c>
      <x:c r="G8" s="8" t="s">
        <x:v>999</x:v>
      </x:c>
      <x:c r="H8" s="14" t="s">
        <x:v>1000</x:v>
      </x:c>
      <x:c r="I8" s="14" t="s">
        <x:v>978</x:v>
      </x:c>
      <x:c r="J8" s="9" t="s">
        <x:v>507</x:v>
      </x:c>
    </x:row>
    <x:row r="9" ht="84" customHeight="1">
      <x:c r="A9" s="13" t="s">
        <x:v>1001</x:v>
      </x:c>
      <x:c r="B9" s="8" t="s">
        <x:v>1002</x:v>
      </x:c>
      <x:c r="C9" s="14" t="s">
        <x:v>1003</x:v>
      </x:c>
      <x:c r="D9" s="8" t="s">
        <x:v>1004</x:v>
      </x:c>
      <x:c r="E9" s="8" t="s">
        <x:v>1005</x:v>
      </x:c>
      <x:c r="F9" s="14" t="s">
        <x:v>1006</x:v>
      </x:c>
      <x:c r="G9" s="8" t="s">
        <x:v>1007</x:v>
      </x:c>
      <x:c r="H9" s="14" t="s">
        <x:v>992</x:v>
      </x:c>
      <x:c r="I9" s="14" t="s">
        <x:v>1008</x:v>
      </x:c>
      <x:c r="J9" s="9" t="s">
        <x:v>201</x:v>
      </x:c>
    </x:row>
    <x:row r="10" ht="84" customHeight="1">
      <x:c r="A10" s="13" t="s">
        <x:v>1009</x:v>
      </x:c>
      <x:c r="B10" s="8" t="s">
        <x:v>1010</x:v>
      </x:c>
      <x:c r="C10" s="14" t="s">
        <x:v>972</x:v>
      </x:c>
      <x:c r="D10" s="8" t="s">
        <x:v>1011</x:v>
      </x:c>
      <x:c r="E10" s="8" t="s">
        <x:v>1012</x:v>
      </x:c>
      <x:c r="F10" s="14" t="s">
        <x:v>1013</x:v>
      </x:c>
      <x:c r="G10" s="8" t="s">
        <x:v>1014</x:v>
      </x:c>
      <x:c r="H10" s="14" t="s">
        <x:v>1015</x:v>
      </x:c>
      <x:c r="I10" s="14" t="s">
        <x:v>1016</x:v>
      </x:c>
      <x:c r="J10" s="9" t="s">
        <x:v>497</x:v>
      </x:c>
    </x:row>
    <x:row r="11" ht="84" customHeight="1">
      <x:c r="A11" s="13" t="s">
        <x:v>1017</x:v>
      </x:c>
      <x:c r="B11" s="8" t="s">
        <x:v>1018</x:v>
      </x:c>
      <x:c r="C11" s="14" t="s">
        <x:v>1019</x:v>
      </x:c>
      <x:c r="D11" s="8" t="s">
        <x:v>1020</x:v>
      </x:c>
      <x:c r="E11" s="8" t="s">
        <x:v>1021</x:v>
      </x:c>
      <x:c r="F11" s="14" t="s">
        <x:v>1013</x:v>
      </x:c>
      <x:c r="G11" s="8" t="s">
        <x:v>1022</x:v>
      </x:c>
      <x:c r="H11" s="14" t="s">
        <x:v>1015</x:v>
      </x:c>
      <x:c r="I11" s="14" t="s">
        <x:v>1023</x:v>
      </x:c>
      <x:c r="J11" s="9" t="s">
        <x:v>1024</x:v>
      </x:c>
    </x:row>
    <x:row r="12" ht="84" customHeight="1">
      <x:c r="A12" s="13" t="s">
        <x:v>1025</x:v>
      </x:c>
      <x:c r="B12" s="8" t="s">
        <x:v>1026</x:v>
      </x:c>
      <x:c r="C12" s="14" t="s">
        <x:v>1027</x:v>
      </x:c>
      <x:c r="D12" s="8" t="s">
        <x:v>1028</x:v>
      </x:c>
      <x:c r="E12" s="8" t="s">
        <x:v>1029</x:v>
      </x:c>
      <x:c r="F12" s="14" t="s">
        <x:v>1030</x:v>
      </x:c>
      <x:c r="G12" s="8" t="s">
        <x:v>1031</x:v>
      </x:c>
      <x:c r="H12" s="14" t="s">
        <x:v>1032</x:v>
      </x:c>
      <x:c r="I12" s="14" t="s">
        <x:v>978</x:v>
      </x:c>
      <x:c r="J12" s="9" t="s">
        <x:v>185</x:v>
      </x:c>
    </x:row>
    <x:row r="13" ht="84" customHeight="1">
      <x:c r="A13" s="13" t="s">
        <x:v>1033</x:v>
      </x:c>
      <x:c r="B13" s="8" t="s">
        <x:v>1034</x:v>
      </x:c>
      <x:c r="C13" s="14" t="s">
        <x:v>1035</x:v>
      </x:c>
      <x:c r="D13" s="8" t="s">
        <x:v>1036</x:v>
      </x:c>
      <x:c r="E13" s="8" t="s">
        <x:v>1037</x:v>
      </x:c>
      <x:c r="F13" s="14" t="s">
        <x:v>1038</x:v>
      </x:c>
      <x:c r="G13" s="8" t="s">
        <x:v>1039</x:v>
      </x:c>
      <x:c r="H13" s="14" t="s">
        <x:v>992</x:v>
      </x:c>
      <x:c r="I13" s="14" t="s">
        <x:v>1040</x:v>
      </x:c>
      <x:c r="J13" s="9" t="s">
        <x:v>1041</x:v>
      </x:c>
    </x:row>
    <x:row r="14" ht="84" customHeight="1">
      <x:c r="A14" s="13" t="s">
        <x:v>1042</x:v>
      </x:c>
      <x:c r="B14" s="8" t="s">
        <x:v>1043</x:v>
      </x:c>
      <x:c r="C14" s="14" t="s">
        <x:v>1035</x:v>
      </x:c>
      <x:c r="D14" s="8" t="s">
        <x:v>1044</x:v>
      </x:c>
      <x:c r="E14" s="8" t="s">
        <x:v>1045</x:v>
      </x:c>
      <x:c r="F14" s="14" t="s">
        <x:v>1046</x:v>
      </x:c>
      <x:c r="G14" s="8" t="s">
        <x:v>1047</x:v>
      </x:c>
      <x:c r="H14" s="14" t="s">
        <x:v>1048</x:v>
      </x:c>
      <x:c r="I14" s="14" t="s">
        <x:v>1008</x:v>
      </x:c>
      <x:c r="J14" s="9" t="s">
        <x:v>1049</x:v>
      </x:c>
    </x:row>
    <x:row r="15" ht="84" customHeight="1">
      <x:c r="A15" s="13" t="s">
        <x:v>1050</x:v>
      </x:c>
      <x:c r="B15" s="8" t="s">
        <x:v>1051</x:v>
      </x:c>
      <x:c r="C15" s="14" t="s">
        <x:v>1052</x:v>
      </x:c>
      <x:c r="D15" s="8" t="s">
        <x:v>1053</x:v>
      </x:c>
      <x:c r="E15" s="8" t="s">
        <x:v>1054</x:v>
      </x:c>
      <x:c r="F15" s="14" t="s">
        <x:v>1055</x:v>
      </x:c>
      <x:c r="G15" s="8" t="s">
        <x:v>1056</x:v>
      </x:c>
      <x:c r="H15" s="14" t="s">
        <x:v>1057</x:v>
      </x:c>
      <x:c r="I15" s="14" t="s">
        <x:v>1023</x:v>
      </x:c>
      <x:c r="J15" s="9" t="s">
        <x:v>1024</x:v>
      </x:c>
    </x:row>
    <x:row r="16" ht="84" customHeight="1">
      <x:c r="A16" s="13" t="s">
        <x:v>1058</x:v>
      </x:c>
      <x:c r="B16" s="8" t="s">
        <x:v>1059</x:v>
      </x:c>
      <x:c r="C16" s="14" t="s">
        <x:v>1060</x:v>
      </x:c>
      <x:c r="D16" s="8" t="s">
        <x:v>1061</x:v>
      </x:c>
      <x:c r="E16" s="8" t="s">
        <x:v>1062</x:v>
      </x:c>
      <x:c r="F16" s="14" t="s">
        <x:v>1063</x:v>
      </x:c>
      <x:c r="G16" s="8" t="s">
        <x:v>1064</x:v>
      </x:c>
      <x:c r="H16" s="14" t="s">
        <x:v>1065</x:v>
      </x:c>
      <x:c r="I16" s="14" t="s">
        <x:v>1023</x:v>
      </x:c>
      <x:c r="J16" s="9" t="s">
        <x:v>1024</x:v>
      </x:c>
    </x:row>
    <x:row r="17" ht="84" customHeight="1">
      <x:c r="A17" s="13" t="s">
        <x:v>1066</x:v>
      </x:c>
      <x:c r="B17" s="8" t="s">
        <x:v>1067</x:v>
      </x:c>
      <x:c r="C17" s="14" t="s">
        <x:v>1068</x:v>
      </x:c>
      <x:c r="D17" s="8" t="s">
        <x:v>1069</x:v>
      </x:c>
      <x:c r="E17" s="8" t="s">
        <x:v>1070</x:v>
      </x:c>
      <x:c r="F17" s="14" t="s">
        <x:v>1071</x:v>
      </x:c>
      <x:c r="G17" s="8" t="s">
        <x:v>1072</x:v>
      </x:c>
      <x:c r="H17" s="14" t="s">
        <x:v>1073</x:v>
      </x:c>
      <x:c r="I17" s="14" t="s">
        <x:v>1023</x:v>
      </x:c>
      <x:c r="J17" s="9" t="s">
        <x:v>396</x:v>
      </x:c>
    </x:row>
    <x:row r="18" ht="84" customHeight="1">
      <x:c r="A18" s="13" t="s">
        <x:v>1074</x:v>
      </x:c>
      <x:c r="B18" s="8" t="s">
        <x:v>1075</x:v>
      </x:c>
      <x:c r="C18" s="14" t="s">
        <x:v>1076</x:v>
      </x:c>
      <x:c r="D18" s="8" t="s">
        <x:v>1077</x:v>
      </x:c>
      <x:c r="E18" s="8" t="s">
        <x:v>1078</x:v>
      </x:c>
      <x:c r="F18" s="14" t="s">
        <x:v>1079</x:v>
      </x:c>
      <x:c r="G18" s="8" t="s">
        <x:v>1080</x:v>
      </x:c>
      <x:c r="H18" s="14" t="s">
        <x:v>992</x:v>
      </x:c>
      <x:c r="I18" s="14" t="s">
        <x:v>1023</x:v>
      </x:c>
      <x:c r="J18" s="9" t="s">
        <x:v>201</x:v>
      </x:c>
    </x:row>
    <x:row r="19" ht="84" customHeight="1">
      <x:c r="A19" s="13" t="s">
        <x:v>1081</x:v>
      </x:c>
      <x:c r="B19" s="8" t="s">
        <x:v>1082</x:v>
      </x:c>
      <x:c r="C19" s="14" t="s">
        <x:v>1083</x:v>
      </x:c>
      <x:c r="D19" s="8" t="s">
        <x:v>1084</x:v>
      </x:c>
      <x:c r="E19" s="8" t="s">
        <x:v>1085</x:v>
      </x:c>
      <x:c r="F19" s="14" t="s">
        <x:v>1086</x:v>
      </x:c>
      <x:c r="G19" s="8" t="s">
        <x:v>1087</x:v>
      </x:c>
      <x:c r="H19" s="14" t="s">
        <x:v>1088</x:v>
      </x:c>
      <x:c r="I19" s="14" t="s">
        <x:v>1023</x:v>
      </x:c>
      <x:c r="J19" s="9" t="s">
        <x:v>216</x:v>
      </x:c>
    </x:row>
    <x:row r="20" ht="84" customHeight="1">
      <x:c r="A20" s="13" t="s">
        <x:v>1089</x:v>
      </x:c>
      <x:c r="B20" s="8" t="s">
        <x:v>1090</x:v>
      </x:c>
      <x:c r="C20" s="14" t="s">
        <x:v>1091</x:v>
      </x:c>
      <x:c r="D20" s="8" t="s">
        <x:v>1092</x:v>
      </x:c>
      <x:c r="E20" s="8" t="s">
        <x:v>1093</x:v>
      </x:c>
      <x:c r="F20" s="14" t="s">
        <x:v>1094</x:v>
      </x:c>
      <x:c r="G20" s="8" t="s">
        <x:v>1095</x:v>
      </x:c>
      <x:c r="H20" s="14" t="s">
        <x:v>1096</x:v>
      </x:c>
      <x:c r="I20" s="14" t="s">
        <x:v>1023</x:v>
      </x:c>
      <x:c r="J20" s="9" t="s">
        <x:v>201</x:v>
      </x:c>
    </x:row>
    <x:row r="21" ht="84" customHeight="1">
      <x:c r="A21" s="13" t="s">
        <x:v>1097</x:v>
      </x:c>
      <x:c r="B21" s="8" t="s">
        <x:v>1098</x:v>
      </x:c>
      <x:c r="C21" s="14" t="s">
        <x:v>1091</x:v>
      </x:c>
      <x:c r="D21" s="8" t="s">
        <x:v>1099</x:v>
      </x:c>
      <x:c r="E21" s="8" t="s">
        <x:v>1100</x:v>
      </x:c>
      <x:c r="F21" s="14" t="s">
        <x:v>1101</x:v>
      </x:c>
      <x:c r="G21" s="8" t="s">
        <x:v>1102</x:v>
      </x:c>
      <x:c r="H21" s="14" t="s">
        <x:v>1103</x:v>
      </x:c>
      <x:c r="I21" s="14" t="s">
        <x:v>1023</x:v>
      </x:c>
      <x:c r="J21" s="9" t="s">
        <x:v>201</x:v>
      </x:c>
    </x:row>
    <x:row r="22" ht="84" customHeight="1">
      <x:c r="A22" s="13" t="s">
        <x:v>1104</x:v>
      </x:c>
      <x:c r="B22" s="8" t="s">
        <x:v>1105</x:v>
      </x:c>
      <x:c r="C22" s="14" t="s">
        <x:v>1106</x:v>
      </x:c>
      <x:c r="D22" s="8" t="s">
        <x:v>1107</x:v>
      </x:c>
      <x:c r="E22" s="8" t="s">
        <x:v>1108</x:v>
      </x:c>
      <x:c r="F22" s="14" t="s">
        <x:v>40</x:v>
      </x:c>
      <x:c r="G22" s="8" t="s">
        <x:v>1109</x:v>
      </x:c>
      <x:c r="H22" s="14" t="s">
        <x:v>1110</x:v>
      </x:c>
      <x:c r="I22" s="14" t="s">
        <x:v>1111</x:v>
      </x:c>
      <x:c r="J22" s="9" t="s">
        <x:v>1112</x:v>
      </x:c>
    </x:row>
    <x:row r="23" ht="84" customHeight="1">
      <x:c r="A23" s="13" t="s">
        <x:v>1113</x:v>
      </x:c>
      <x:c r="B23" s="8" t="s">
        <x:v>1114</x:v>
      </x:c>
      <x:c r="C23" s="14" t="s">
        <x:v>1115</x:v>
      </x:c>
      <x:c r="D23" s="8" t="s">
        <x:v>1116</x:v>
      </x:c>
      <x:c r="E23" s="8" t="s">
        <x:v>1117</x:v>
      </x:c>
      <x:c r="F23" s="14" t="s">
        <x:v>40</x:v>
      </x:c>
      <x:c r="G23" s="8" t="s">
        <x:v>1118</x:v>
      </x:c>
      <x:c r="H23" s="14" t="s">
        <x:v>1119</x:v>
      </x:c>
      <x:c r="I23" s="14" t="s">
        <x:v>1120</x:v>
      </x:c>
      <x:c r="J23" s="9" t="s">
        <x:v>201</x:v>
      </x:c>
    </x:row>
    <x:row r="24" ht="84" customHeight="1">
      <x:c r="A24" s="15" t="s">
        <x:v>1121</x:v>
      </x:c>
      <x:c r="B24" s="11" t="s">
        <x:v>1122</x:v>
      </x:c>
      <x:c r="C24" s="16" t="s">
        <x:v>1123</x:v>
      </x:c>
      <x:c r="D24" s="11" t="s">
        <x:v>1124</x:v>
      </x:c>
      <x:c r="E24" s="11" t="s">
        <x:v>1125</x:v>
      </x:c>
      <x:c r="F24" s="16" t="s">
        <x:v>1126</x:v>
      </x:c>
      <x:c r="G24" s="11" t="s">
        <x:v>1127</x:v>
      </x:c>
      <x:c r="H24" s="16" t="s">
        <x:v>1128</x:v>
      </x:c>
      <x:c r="I24" s="16" t="s">
        <x:v>1023</x:v>
      </x:c>
      <x:c r="J24" s="12" t="s">
        <x:v>201</x:v>
      </x:c>
    </x:row>
    <x:row r="26" ht="28" customHeight="1">
      <x:c r="A26" s="17" t="s">
        <x:v>329</x:v>
      </x:c>
      <x:c r="B26" s="17"/>
      <x:c r="C26" s="17"/>
      <x:c r="D26" s="17"/>
      <x:c r="E26" s="17"/>
      <x:c r="F26" s="17"/>
      <x:c r="G26" s="17"/>
      <x:c r="H26" s="17"/>
      <x:c r="I26" s="17"/>
      <x:c r="J26" s="17"/>
    </x:row>
  </x:sheetData>
  <x:mergeCells>
    <x:mergeCell ref="A1:J1"/>
    <x:mergeCell ref="A2:J2"/>
    <x:mergeCell ref="A3:J3"/>
    <x:mergeCell ref="A26:J26"/>
  </x:mergeCells>
  <x:conditionalFormatting sqref="C5:C24">
    <x:cfRule type="expression" dxfId="0" priority="1">
      <x:formula>OR(ISNUMBER(SEARCH("DO NOT",C5)),ISNUMBER(SEARCH("BLOCKER",C5)),ISNUMBER(SEARCH("DUMMY",C5)))</x:formula>
    </x:cfRule>
    <x:cfRule type="expression" dxfId="1" priority="2">
      <x:formula>OR(ISNUMBER(SEARCH("PENDING",C5)),ISNUMBER(SEARCH("PLACEHOLDER",C5)),ISNUMBER(SEARCH("PREVIEW",C5)),ISNUMBER(SEARCH("NOT AVAILABLE",C5)))</x:formula>
    </x:cfRule>
    <x:cfRule type="expression" dxfId="2" priority="3">
      <x:formula>ISNUMBER(SEARCH("CONFIRMED",C5))</x:formula>
    </x:cfRule>
  </x:conditionalFormatting>
  <x:pageMargins left="0.7" right="0.7" top="0.75" bottom="0.75" header="0.3" footer="0.3"/>
  <x:tableParts count="1">
    <x:tablePart xmlns:r="http://schemas.openxmlformats.org/officeDocument/2006/relationships" r:id="Re18f078f6cf745de"/>
  </x:tableParts>
</x:worksheet>
</file>

<file path=xl/worksheets/sheet7.xml><?xml version="1.0" encoding="utf-8"?>
<x:worksheet xmlns:x="http://schemas.openxmlformats.org/spreadsheetml/2006/main">
  <x:sheetFormatPr defaultColWidth="9" defaultRowHeight="14"/>
  <x:cols>
    <x:col min="1" max="1" width="25" customWidth="1"/>
    <x:col min="2" max="2" width="44" customWidth="1"/>
    <x:col min="3" max="3" width="14" customWidth="1"/>
    <x:col min="4" max="5" width="12" customWidth="1"/>
    <x:col min="6" max="6" width="18" customWidth="1"/>
    <x:col min="7" max="7" width="16" customWidth="1"/>
    <x:col min="8" max="9" width="20" customWidth="1"/>
    <x:col min="10" max="10" width="15" customWidth="1"/>
    <x:col min="11" max="12" width="48" customWidth="1"/>
  </x:cols>
  <x:sheetData>
    <x:row r="1" ht="36" customHeight="1">
      <x:c r="A1" s="1" t="s">
        <x:v>1129</x:v>
      </x:c>
      <x:c r="B1" s="1"/>
      <x:c r="C1" s="1"/>
      <x:c r="D1" s="1"/>
      <x:c r="E1" s="1"/>
      <x:c r="F1" s="1"/>
      <x:c r="G1" s="1"/>
      <x:c r="H1" s="1"/>
      <x:c r="I1" s="1"/>
      <x:c r="J1" s="1"/>
      <x:c r="K1" s="1"/>
      <x:c r="L1" s="1"/>
    </x:row>
    <x:row r="2" ht="32" customHeight="1">
      <x:c r="A2" s="2" t="s">
        <x:v>1130</x:v>
      </x:c>
      <x:c r="B2" s="2"/>
      <x:c r="C2" s="2"/>
      <x:c r="D2" s="2"/>
      <x:c r="E2" s="2"/>
      <x:c r="F2" s="2"/>
      <x:c r="G2" s="2"/>
      <x:c r="H2" s="2"/>
      <x:c r="I2" s="2"/>
      <x:c r="J2" s="2"/>
      <x:c r="K2" s="2"/>
      <x:c r="L2" s="2"/>
    </x:row>
    <x:row r="3" ht="28" customHeight="1">
      <x:c r="A3" s="3" t="s">
        <x:v>75</x:v>
      </x:c>
      <x:c r="B3" s="3"/>
      <x:c r="C3" s="3"/>
      <x:c r="D3" s="3"/>
      <x:c r="E3" s="3"/>
      <x:c r="F3" s="3"/>
      <x:c r="G3" s="3"/>
      <x:c r="H3" s="3"/>
      <x:c r="I3" s="3"/>
      <x:c r="J3" s="3"/>
      <x:c r="K3" s="3"/>
      <x:c r="L3" s="3"/>
    </x:row>
    <x:row r="4" ht="34" customHeight="1">
      <x:c r="A4" s="4" t="s">
        <x:v>30</x:v>
      </x:c>
      <x:c r="B4" s="5" t="s">
        <x:v>1131</x:v>
      </x:c>
      <x:c r="C4" s="5" t="s">
        <x:v>311</x:v>
      </x:c>
      <x:c r="D4" s="5" t="s">
        <x:v>1132</x:v>
      </x:c>
      <x:c r="E4" s="5" t="s">
        <x:v>1133</x:v>
      </x:c>
      <x:c r="F4" s="5" t="s">
        <x:v>1134</x:v>
      </x:c>
      <x:c r="G4" s="5" t="s">
        <x:v>1135</x:v>
      </x:c>
      <x:c r="H4" s="5" t="s">
        <x:v>1136</x:v>
      </x:c>
      <x:c r="I4" s="5" t="s">
        <x:v>1137</x:v>
      </x:c>
      <x:c r="J4" s="5" t="s">
        <x:v>1138</x:v>
      </x:c>
      <x:c r="K4" s="5" t="s">
        <x:v>1139</x:v>
      </x:c>
      <x:c r="L4" s="6" t="s">
        <x:v>966</x:v>
      </x:c>
    </x:row>
    <x:row r="5" ht="68" customHeight="1">
      <x:c r="A5" s="7" t="s">
        <x:v>32</x:v>
      </x:c>
      <x:c r="B5" s="8" t="s">
        <x:v>1140</x:v>
      </x:c>
      <x:c r="C5" s="18">
        <x:v>5</x:v>
      </x:c>
      <x:c r="D5" s="18">
        <x:v>5</x:v>
      </x:c>
      <x:c r="E5" s="18">
        <x:v>5</x:v>
      </x:c>
      <x:c r="F5" s="18">
        <x:v>5</x:v>
      </x:c>
      <x:c r="G5" s="18">
        <x:v>5</x:v>
      </x:c>
      <x:c r="H5" s="18">
        <x:v>5</x:v>
      </x:c>
      <x:c r="I5" s="18">
        <x:v>3</x:v>
      </x:c>
      <x:c r="J5" s="19" t="n">
        <x:f t="shared" ref="J5:J17" si="0">AVERAGE(C5:I5)</x:f>
        <x:v>4.714285714285714</x:v>
      </x:c>
      <x:c r="K5" s="8" t="s">
        <x:v>1141</x:v>
      </x:c>
      <x:c r="L5" s="9" t="s">
        <x:v>1142</x:v>
      </x:c>
    </x:row>
    <x:row r="6" ht="68" customHeight="1">
      <x:c r="A6" s="7" t="s">
        <x:v>33</x:v>
      </x:c>
      <x:c r="B6" s="8" t="s">
        <x:v>1143</x:v>
      </x:c>
      <x:c r="C6" s="18">
        <x:v>5</x:v>
      </x:c>
      <x:c r="D6" s="18">
        <x:v>5</x:v>
      </x:c>
      <x:c r="E6" s="18">
        <x:v>5</x:v>
      </x:c>
      <x:c r="F6" s="18">
        <x:v>5</x:v>
      </x:c>
      <x:c r="G6" s="18">
        <x:v>5</x:v>
      </x:c>
      <x:c r="H6" s="18">
        <x:v>5</x:v>
      </x:c>
      <x:c r="I6" s="18">
        <x:v>4</x:v>
      </x:c>
      <x:c r="J6" s="19">
        <x:f t="shared" si="0"/>
        <x:v>4.85714285714286</x:v>
      </x:c>
      <x:c r="K6" s="8" t="s">
        <x:v>1144</x:v>
      </x:c>
      <x:c r="L6" s="9" t="s">
        <x:v>1145</x:v>
      </x:c>
    </x:row>
    <x:row r="7" ht="68" customHeight="1">
      <x:c r="A7" s="7" t="s">
        <x:v>34</x:v>
      </x:c>
      <x:c r="B7" s="8" t="s">
        <x:v>1146</x:v>
      </x:c>
      <x:c r="C7" s="18">
        <x:v>5</x:v>
      </x:c>
      <x:c r="D7" s="18">
        <x:v>5</x:v>
      </x:c>
      <x:c r="E7" s="18">
        <x:v>5</x:v>
      </x:c>
      <x:c r="F7" s="18">
        <x:v>5</x:v>
      </x:c>
      <x:c r="G7" s="18">
        <x:v>4</x:v>
      </x:c>
      <x:c r="H7" s="18">
        <x:v>5</x:v>
      </x:c>
      <x:c r="I7" s="18">
        <x:v>3</x:v>
      </x:c>
      <x:c r="J7" s="19">
        <x:f t="shared" si="0"/>
        <x:v>4.57142857142857</x:v>
      </x:c>
      <x:c r="K7" s="8" t="s">
        <x:v>1147</x:v>
      </x:c>
      <x:c r="L7" s="9" t="s">
        <x:v>1148</x:v>
      </x:c>
    </x:row>
    <x:row r="8" ht="68" customHeight="1">
      <x:c r="A8" s="7" t="s">
        <x:v>35</x:v>
      </x:c>
      <x:c r="B8" s="8" t="s">
        <x:v>1149</x:v>
      </x:c>
      <x:c r="C8" s="18">
        <x:v>5</x:v>
      </x:c>
      <x:c r="D8" s="18">
        <x:v>5</x:v>
      </x:c>
      <x:c r="E8" s="18">
        <x:v>4</x:v>
      </x:c>
      <x:c r="F8" s="18">
        <x:v>5</x:v>
      </x:c>
      <x:c r="G8" s="18">
        <x:v>4</x:v>
      </x:c>
      <x:c r="H8" s="18">
        <x:v>5</x:v>
      </x:c>
      <x:c r="I8" s="18">
        <x:v>1</x:v>
      </x:c>
      <x:c r="J8" s="19">
        <x:f t="shared" si="0"/>
        <x:v>4.14285714285714</x:v>
      </x:c>
      <x:c r="K8" s="8" t="s">
        <x:v>1150</x:v>
      </x:c>
      <x:c r="L8" s="9" t="s">
        <x:v>1151</x:v>
      </x:c>
    </x:row>
    <x:row r="9" ht="68" customHeight="1">
      <x:c r="A9" s="7" t="s">
        <x:v>36</x:v>
      </x:c>
      <x:c r="B9" s="8" t="s">
        <x:v>1152</x:v>
      </x:c>
      <x:c r="C9" s="18">
        <x:v>5</x:v>
      </x:c>
      <x:c r="D9" s="18">
        <x:v>5</x:v>
      </x:c>
      <x:c r="E9" s="18">
        <x:v>5</x:v>
      </x:c>
      <x:c r="F9" s="18">
        <x:v>5</x:v>
      </x:c>
      <x:c r="G9" s="18">
        <x:v>5</x:v>
      </x:c>
      <x:c r="H9" s="18">
        <x:v>5</x:v>
      </x:c>
      <x:c r="I9" s="18">
        <x:v>4</x:v>
      </x:c>
      <x:c r="J9" s="19">
        <x:f t="shared" si="0"/>
        <x:v>4.85714285714286</x:v>
      </x:c>
      <x:c r="K9" s="8" t="s">
        <x:v>1153</x:v>
      </x:c>
      <x:c r="L9" s="9" t="s">
        <x:v>1154</x:v>
      </x:c>
    </x:row>
    <x:row r="10" ht="68" customHeight="1">
      <x:c r="A10" s="7" t="s">
        <x:v>37</x:v>
      </x:c>
      <x:c r="B10" s="8" t="s">
        <x:v>1155</x:v>
      </x:c>
      <x:c r="C10" s="18">
        <x:v>5</x:v>
      </x:c>
      <x:c r="D10" s="18">
        <x:v>5</x:v>
      </x:c>
      <x:c r="E10" s="18">
        <x:v>4</x:v>
      </x:c>
      <x:c r="F10" s="18">
        <x:v>5</x:v>
      </x:c>
      <x:c r="G10" s="18">
        <x:v>4</x:v>
      </x:c>
      <x:c r="H10" s="18">
        <x:v>5</x:v>
      </x:c>
      <x:c r="I10" s="18">
        <x:v>1</x:v>
      </x:c>
      <x:c r="J10" s="19">
        <x:f t="shared" si="0"/>
        <x:v>4.14285714285714</x:v>
      </x:c>
      <x:c r="K10" s="8" t="s">
        <x:v>1156</x:v>
      </x:c>
      <x:c r="L10" s="9" t="s">
        <x:v>1157</x:v>
      </x:c>
    </x:row>
    <x:row r="11" ht="68" customHeight="1">
      <x:c r="A11" s="7" t="s">
        <x:v>38</x:v>
      </x:c>
      <x:c r="B11" s="8" t="s">
        <x:v>1158</x:v>
      </x:c>
      <x:c r="C11" s="18">
        <x:v>5</x:v>
      </x:c>
      <x:c r="D11" s="18">
        <x:v>5</x:v>
      </x:c>
      <x:c r="E11" s="18">
        <x:v>5</x:v>
      </x:c>
      <x:c r="F11" s="18">
        <x:v>5</x:v>
      </x:c>
      <x:c r="G11" s="18">
        <x:v>4</x:v>
      </x:c>
      <x:c r="H11" s="18">
        <x:v>5</x:v>
      </x:c>
      <x:c r="I11" s="18">
        <x:v>2</x:v>
      </x:c>
      <x:c r="J11" s="19">
        <x:f t="shared" si="0"/>
        <x:v>4.42857142857143</x:v>
      </x:c>
      <x:c r="K11" s="8" t="s">
        <x:v>1159</x:v>
      </x:c>
      <x:c r="L11" s="9" t="s">
        <x:v>1160</x:v>
      </x:c>
    </x:row>
    <x:row r="12" ht="68" customHeight="1">
      <x:c r="A12" s="7" t="s">
        <x:v>39</x:v>
      </x:c>
      <x:c r="B12" s="8" t="s">
        <x:v>1161</x:v>
      </x:c>
      <x:c r="C12" s="18">
        <x:v>5</x:v>
      </x:c>
      <x:c r="D12" s="18">
        <x:v>5</x:v>
      </x:c>
      <x:c r="E12" s="18">
        <x:v>4</x:v>
      </x:c>
      <x:c r="F12" s="18">
        <x:v>5</x:v>
      </x:c>
      <x:c r="G12" s="18">
        <x:v>4</x:v>
      </x:c>
      <x:c r="H12" s="18">
        <x:v>5</x:v>
      </x:c>
      <x:c r="I12" s="18">
        <x:v>1</x:v>
      </x:c>
      <x:c r="J12" s="19">
        <x:f t="shared" si="0"/>
        <x:v>4.14285714285714</x:v>
      </x:c>
      <x:c r="K12" s="8" t="s">
        <x:v>1162</x:v>
      </x:c>
      <x:c r="L12" s="9" t="s">
        <x:v>1163</x:v>
      </x:c>
    </x:row>
    <x:row r="13" ht="68" customHeight="1">
      <x:c r="A13" s="7" t="s">
        <x:v>40</x:v>
      </x:c>
      <x:c r="B13" s="8" t="s">
        <x:v>1164</x:v>
      </x:c>
      <x:c r="C13" s="18">
        <x:v>5</x:v>
      </x:c>
      <x:c r="D13" s="18">
        <x:v>5</x:v>
      </x:c>
      <x:c r="E13" s="18">
        <x:v>5</x:v>
      </x:c>
      <x:c r="F13" s="18">
        <x:v>5</x:v>
      </x:c>
      <x:c r="G13" s="18">
        <x:v>5</x:v>
      </x:c>
      <x:c r="H13" s="18">
        <x:v>5</x:v>
      </x:c>
      <x:c r="I13" s="18">
        <x:v>3</x:v>
      </x:c>
      <x:c r="J13" s="19">
        <x:f t="shared" si="0"/>
        <x:v>4.71428571428571</x:v>
      </x:c>
      <x:c r="K13" s="8" t="s">
        <x:v>1165</x:v>
      </x:c>
      <x:c r="L13" s="9" t="s">
        <x:v>1166</x:v>
      </x:c>
    </x:row>
    <x:row r="14" ht="68" customHeight="1">
      <x:c r="A14" s="7" t="s">
        <x:v>41</x:v>
      </x:c>
      <x:c r="B14" s="8" t="s">
        <x:v>1167</x:v>
      </x:c>
      <x:c r="C14" s="18">
        <x:v>5</x:v>
      </x:c>
      <x:c r="D14" s="18">
        <x:v>5</x:v>
      </x:c>
      <x:c r="E14" s="18">
        <x:v>4</x:v>
      </x:c>
      <x:c r="F14" s="18">
        <x:v>5</x:v>
      </x:c>
      <x:c r="G14" s="18">
        <x:v>5</x:v>
      </x:c>
      <x:c r="H14" s="18">
        <x:v>5</x:v>
      </x:c>
      <x:c r="I14" s="18">
        <x:v>2</x:v>
      </x:c>
      <x:c r="J14" s="19">
        <x:f t="shared" si="0"/>
        <x:v>4.42857142857143</x:v>
      </x:c>
      <x:c r="K14" s="8" t="s">
        <x:v>1168</x:v>
      </x:c>
      <x:c r="L14" s="9" t="s">
        <x:v>1169</x:v>
      </x:c>
    </x:row>
    <x:row r="15" ht="68" customHeight="1">
      <x:c r="A15" s="7" t="s">
        <x:v>42</x:v>
      </x:c>
      <x:c r="B15" s="8" t="s">
        <x:v>1170</x:v>
      </x:c>
      <x:c r="C15" s="18">
        <x:v>5</x:v>
      </x:c>
      <x:c r="D15" s="18">
        <x:v>5</x:v>
      </x:c>
      <x:c r="E15" s="18">
        <x:v>4</x:v>
      </x:c>
      <x:c r="F15" s="18">
        <x:v>5</x:v>
      </x:c>
      <x:c r="G15" s="18">
        <x:v>4</x:v>
      </x:c>
      <x:c r="H15" s="18">
        <x:v>5</x:v>
      </x:c>
      <x:c r="I15" s="18">
        <x:v>1</x:v>
      </x:c>
      <x:c r="J15" s="19">
        <x:f t="shared" si="0"/>
        <x:v>4.14285714285714</x:v>
      </x:c>
      <x:c r="K15" s="8" t="s">
        <x:v>1171</x:v>
      </x:c>
      <x:c r="L15" s="9" t="s">
        <x:v>1172</x:v>
      </x:c>
    </x:row>
    <x:row r="16" ht="68" customHeight="1">
      <x:c r="A16" s="7" t="s">
        <x:v>43</x:v>
      </x:c>
      <x:c r="B16" s="8" t="s">
        <x:v>1173</x:v>
      </x:c>
      <x:c r="C16" s="18">
        <x:v>5</x:v>
      </x:c>
      <x:c r="D16" s="18">
        <x:v>5</x:v>
      </x:c>
      <x:c r="E16" s="18">
        <x:v>3</x:v>
      </x:c>
      <x:c r="F16" s="18">
        <x:v>5</x:v>
      </x:c>
      <x:c r="G16" s="18">
        <x:v>2</x:v>
      </x:c>
      <x:c r="H16" s="18">
        <x:v>5</x:v>
      </x:c>
      <x:c r="I16" s="18">
        <x:v>1</x:v>
      </x:c>
      <x:c r="J16" s="19">
        <x:f t="shared" si="0"/>
        <x:v>3.71428571428571</x:v>
      </x:c>
      <x:c r="K16" s="8" t="s">
        <x:v>1174</x:v>
      </x:c>
      <x:c r="L16" s="9" t="s">
        <x:v>1175</x:v>
      </x:c>
    </x:row>
    <x:row r="17" ht="68" customHeight="1">
      <x:c r="A17" s="10" t="s">
        <x:v>44</x:v>
      </x:c>
      <x:c r="B17" s="11" t="s">
        <x:v>1176</x:v>
      </x:c>
      <x:c r="C17" s="20">
        <x:v>5</x:v>
      </x:c>
      <x:c r="D17" s="20">
        <x:v>5</x:v>
      </x:c>
      <x:c r="E17" s="20">
        <x:v>3</x:v>
      </x:c>
      <x:c r="F17" s="20">
        <x:v>5</x:v>
      </x:c>
      <x:c r="G17" s="20">
        <x:v>2</x:v>
      </x:c>
      <x:c r="H17" s="20">
        <x:v>5</x:v>
      </x:c>
      <x:c r="I17" s="20">
        <x:v>1</x:v>
      </x:c>
      <x:c r="J17" s="21">
        <x:f t="shared" si="0"/>
        <x:v>3.71428571428571</x:v>
      </x:c>
      <x:c r="K17" s="11" t="s">
        <x:v>1177</x:v>
      </x:c>
      <x:c r="L17" s="12" t="s">
        <x:v>1178</x:v>
      </x:c>
    </x:row>
  </x:sheetData>
  <x:mergeCells>
    <x:mergeCell ref="A1:L1"/>
    <x:mergeCell ref="A2:L2"/>
    <x:mergeCell ref="A3:L3"/>
  </x:mergeCells>
  <x:conditionalFormatting sqref="C5:J17">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0dcdc98e73b148a9"/>
  </x:tableParts>
</x:worksheet>
</file>

<file path=xl/worksheets/sheet8.xml><?xml version="1.0" encoding="utf-8"?>
<x:worksheet xmlns:x="http://schemas.openxmlformats.org/spreadsheetml/2006/main">
  <x:sheetFormatPr defaultColWidth="9" defaultRowHeight="14"/>
  <x:cols>
    <x:col min="1" max="1" width="11" customWidth="1"/>
    <x:col min="2" max="2" width="28" customWidth="1"/>
    <x:col min="3" max="3" width="48" customWidth="1"/>
    <x:col min="4" max="4" width="46" customWidth="1"/>
    <x:col min="5" max="5" width="27" customWidth="1"/>
    <x:col min="6" max="6" width="14" customWidth="1"/>
    <x:col min="7" max="7" width="20" customWidth="1"/>
    <x:col min="8" max="8" width="18" customWidth="1"/>
    <x:col min="9" max="9" width="23" customWidth="1"/>
  </x:cols>
  <x:sheetData>
    <x:row r="1" ht="36" customHeight="1">
      <x:c r="A1" s="1" t="s">
        <x:v>1179</x:v>
      </x:c>
      <x:c r="B1" s="1"/>
      <x:c r="C1" s="1"/>
      <x:c r="D1" s="1"/>
      <x:c r="E1" s="1"/>
      <x:c r="F1" s="1"/>
      <x:c r="G1" s="1"/>
      <x:c r="H1" s="1"/>
      <x:c r="I1" s="1"/>
    </x:row>
    <x:row r="2" ht="32" customHeight="1">
      <x:c r="A2" s="2" t="s">
        <x:v>1180</x:v>
      </x:c>
      <x:c r="B2" s="2"/>
      <x:c r="C2" s="2"/>
      <x:c r="D2" s="2"/>
      <x:c r="E2" s="2"/>
      <x:c r="F2" s="2"/>
      <x:c r="G2" s="2"/>
      <x:c r="H2" s="2"/>
      <x:c r="I2" s="2"/>
    </x:row>
    <x:row r="3" ht="28" customHeight="1">
      <x:c r="A3" s="3" t="s">
        <x:v>75</x:v>
      </x:c>
      <x:c r="B3" s="3"/>
      <x:c r="C3" s="3"/>
      <x:c r="D3" s="3"/>
      <x:c r="E3" s="3"/>
      <x:c r="F3" s="3"/>
      <x:c r="G3" s="3"/>
      <x:c r="H3" s="3"/>
      <x:c r="I3" s="3"/>
    </x:row>
    <x:row r="4" ht="34" customHeight="1">
      <x:c r="A4" s="4" t="s">
        <x:v>1181</x:v>
      </x:c>
      <x:c r="B4" s="5" t="s">
        <x:v>1182</x:v>
      </x:c>
      <x:c r="C4" s="5" t="s">
        <x:v>966</x:v>
      </x:c>
      <x:c r="D4" s="5" t="s">
        <x:v>1183</x:v>
      </x:c>
      <x:c r="E4" s="5" t="s">
        <x:v>967</x:v>
      </x:c>
      <x:c r="F4" s="5" t="s">
        <x:v>1184</x:v>
      </x:c>
      <x:c r="G4" s="5" t="s">
        <x:v>313</x:v>
      </x:c>
      <x:c r="H4" s="5" t="s">
        <x:v>1185</x:v>
      </x:c>
      <x:c r="I4" s="6" t="s">
        <x:v>1186</x:v>
      </x:c>
    </x:row>
    <x:row r="5" ht="78" customHeight="1">
      <x:c r="A5" s="13" t="s">
        <x:v>706</x:v>
      </x:c>
      <x:c r="B5" s="8" t="s">
        <x:v>1187</x:v>
      </x:c>
      <x:c r="C5" s="8" t="s">
        <x:v>1188</x:v>
      </x:c>
      <x:c r="D5" s="8" t="s">
        <x:v>1189</x:v>
      </x:c>
      <x:c r="E5" s="8" t="s">
        <x:v>992</x:v>
      </x:c>
      <x:c r="F5" s="14" t="s">
        <x:v>1190</x:v>
      </x:c>
      <x:c r="G5" s="14" t="s">
        <x:v>1191</x:v>
      </x:c>
      <x:c r="H5" s="14" t="s">
        <x:v>1192</x:v>
      </x:c>
      <x:c r="I5" s="9" t="s">
        <x:v>1193</x:v>
      </x:c>
    </x:row>
    <x:row r="6" ht="78" customHeight="1">
      <x:c r="A6" s="13" t="s">
        <x:v>1194</x:v>
      </x:c>
      <x:c r="B6" s="8" t="s">
        <x:v>1195</x:v>
      </x:c>
      <x:c r="C6" s="8" t="s">
        <x:v>1196</x:v>
      </x:c>
      <x:c r="D6" s="8" t="s">
        <x:v>1197</x:v>
      </x:c>
      <x:c r="E6" s="8" t="s">
        <x:v>1198</x:v>
      </x:c>
      <x:c r="F6" s="14" t="s">
        <x:v>1199</x:v>
      </x:c>
      <x:c r="G6" s="14" t="s">
        <x:v>1191</x:v>
      </x:c>
      <x:c r="H6" s="14" t="s">
        <x:v>1200</x:v>
      </x:c>
      <x:c r="I6" s="9" t="s">
        <x:v>1001</x:v>
      </x:c>
    </x:row>
    <x:row r="7" ht="78" customHeight="1">
      <x:c r="A7" s="13" t="s">
        <x:v>1201</x:v>
      </x:c>
      <x:c r="B7" s="8" t="s">
        <x:v>1202</x:v>
      </x:c>
      <x:c r="C7" s="8" t="s">
        <x:v>1203</x:v>
      </x:c>
      <x:c r="D7" s="8" t="s">
        <x:v>1204</x:v>
      </x:c>
      <x:c r="E7" s="8" t="s">
        <x:v>1205</x:v>
      </x:c>
      <x:c r="F7" s="14" t="s">
        <x:v>1190</x:v>
      </x:c>
      <x:c r="G7" s="14" t="s">
        <x:v>1191</x:v>
      </x:c>
      <x:c r="H7" s="14" t="s">
        <x:v>1192</x:v>
      </x:c>
      <x:c r="I7" s="9" t="s">
        <x:v>1081</x:v>
      </x:c>
    </x:row>
    <x:row r="8" ht="78" customHeight="1">
      <x:c r="A8" s="13" t="s">
        <x:v>1206</x:v>
      </x:c>
      <x:c r="B8" s="8" t="s">
        <x:v>1207</x:v>
      </x:c>
      <x:c r="C8" s="8" t="s">
        <x:v>1208</x:v>
      </x:c>
      <x:c r="D8" s="8" t="s">
        <x:v>1209</x:v>
      </x:c>
      <x:c r="E8" s="8" t="s">
        <x:v>1210</x:v>
      </x:c>
      <x:c r="F8" s="14" t="s">
        <x:v>1211</x:v>
      </x:c>
      <x:c r="G8" s="14" t="s">
        <x:v>1212</x:v>
      </x:c>
      <x:c r="H8" s="14" t="s">
        <x:v>1213</x:v>
      </x:c>
      <x:c r="I8" s="9" t="s">
        <x:v>120</x:v>
      </x:c>
    </x:row>
    <x:row r="9" ht="78" customHeight="1">
      <x:c r="A9" s="13" t="s">
        <x:v>1214</x:v>
      </x:c>
      <x:c r="B9" s="8" t="s">
        <x:v>1215</x:v>
      </x:c>
      <x:c r="C9" s="8" t="s">
        <x:v>1216</x:v>
      </x:c>
      <x:c r="D9" s="8" t="s">
        <x:v>1217</x:v>
      </x:c>
      <x:c r="E9" s="8" t="s">
        <x:v>1015</x:v>
      </x:c>
      <x:c r="F9" s="14" t="s">
        <x:v>1199</x:v>
      </x:c>
      <x:c r="G9" s="14" t="s">
        <x:v>1191</x:v>
      </x:c>
      <x:c r="H9" s="14" t="s">
        <x:v>1218</x:v>
      </x:c>
      <x:c r="I9" s="9" t="s">
        <x:v>1017</x:v>
      </x:c>
    </x:row>
    <x:row r="10" ht="78" customHeight="1">
      <x:c r="A10" s="13" t="s">
        <x:v>1219</x:v>
      </x:c>
      <x:c r="B10" s="8" t="s">
        <x:v>41</x:v>
      </x:c>
      <x:c r="C10" s="8" t="s">
        <x:v>1220</x:v>
      </x:c>
      <x:c r="D10" s="8" t="s">
        <x:v>1221</x:v>
      </x:c>
      <x:c r="E10" s="8" t="s">
        <x:v>1222</x:v>
      </x:c>
      <x:c r="F10" s="14" t="s">
        <x:v>1199</x:v>
      </x:c>
      <x:c r="G10" s="14" t="s">
        <x:v>1191</x:v>
      </x:c>
      <x:c r="H10" s="14" t="s">
        <x:v>1223</x:v>
      </x:c>
      <x:c r="I10" s="9" t="s">
        <x:v>1224</x:v>
      </x:c>
    </x:row>
    <x:row r="11" ht="78" customHeight="1">
      <x:c r="A11" s="13" t="s">
        <x:v>1225</x:v>
      </x:c>
      <x:c r="B11" s="8" t="s">
        <x:v>34</x:v>
      </x:c>
      <x:c r="C11" s="8" t="s">
        <x:v>1226</x:v>
      </x:c>
      <x:c r="D11" s="8" t="s">
        <x:v>1227</x:v>
      </x:c>
      <x:c r="E11" s="8" t="s">
        <x:v>1228</x:v>
      </x:c>
      <x:c r="F11" s="14" t="s">
        <x:v>1190</x:v>
      </x:c>
      <x:c r="G11" s="14" t="s">
        <x:v>1191</x:v>
      </x:c>
      <x:c r="H11" s="14" t="s">
        <x:v>1192</x:v>
      </x:c>
      <x:c r="I11" s="9" t="s">
        <x:v>1050</x:v>
      </x:c>
    </x:row>
    <x:row r="12" ht="78" customHeight="1">
      <x:c r="A12" s="13" t="s">
        <x:v>1229</x:v>
      </x:c>
      <x:c r="B12" s="8" t="s">
        <x:v>37</x:v>
      </x:c>
      <x:c r="C12" s="8" t="s">
        <x:v>1230</x:v>
      </x:c>
      <x:c r="D12" s="8" t="s">
        <x:v>1231</x:v>
      </x:c>
      <x:c r="E12" s="8" t="s">
        <x:v>1232</x:v>
      </x:c>
      <x:c r="F12" s="14" t="s">
        <x:v>1190</x:v>
      </x:c>
      <x:c r="G12" s="14" t="s">
        <x:v>1191</x:v>
      </x:c>
      <x:c r="H12" s="14" t="s">
        <x:v>1192</x:v>
      </x:c>
      <x:c r="I12" s="9" t="s">
        <x:v>1058</x:v>
      </x:c>
    </x:row>
    <x:row r="13" ht="78" customHeight="1">
      <x:c r="A13" s="13" t="s">
        <x:v>1233</x:v>
      </x:c>
      <x:c r="B13" s="8" t="s">
        <x:v>1234</x:v>
      </x:c>
      <x:c r="C13" s="8" t="s">
        <x:v>1235</x:v>
      </x:c>
      <x:c r="D13" s="8" t="s">
        <x:v>1236</x:v>
      </x:c>
      <x:c r="E13" s="8" t="s">
        <x:v>1073</x:v>
      </x:c>
      <x:c r="F13" s="14" t="s">
        <x:v>1190</x:v>
      </x:c>
      <x:c r="G13" s="14" t="s">
        <x:v>1191</x:v>
      </x:c>
      <x:c r="H13" s="14" t="s">
        <x:v>1192</x:v>
      </x:c>
      <x:c r="I13" s="9" t="s">
        <x:v>1066</x:v>
      </x:c>
    </x:row>
    <x:row r="14" ht="78" customHeight="1">
      <x:c r="A14" s="13" t="s">
        <x:v>1237</x:v>
      </x:c>
      <x:c r="B14" s="8" t="s">
        <x:v>1238</x:v>
      </x:c>
      <x:c r="C14" s="8" t="s">
        <x:v>1239</x:v>
      </x:c>
      <x:c r="D14" s="8" t="s">
        <x:v>1240</x:v>
      </x:c>
      <x:c r="E14" s="8" t="s">
        <x:v>1241</x:v>
      </x:c>
      <x:c r="F14" s="14" t="s">
        <x:v>1190</x:v>
      </x:c>
      <x:c r="G14" s="14" t="s">
        <x:v>1191</x:v>
      </x:c>
      <x:c r="H14" s="14" t="s">
        <x:v>1192</x:v>
      </x:c>
      <x:c r="I14" s="9" t="s">
        <x:v>1089</x:v>
      </x:c>
    </x:row>
    <x:row r="15" ht="78" customHeight="1">
      <x:c r="A15" s="13" t="s">
        <x:v>1242</x:v>
      </x:c>
      <x:c r="B15" s="8" t="s">
        <x:v>1243</x:v>
      </x:c>
      <x:c r="C15" s="8" t="s">
        <x:v>1244</x:v>
      </x:c>
      <x:c r="D15" s="8" t="s">
        <x:v>1245</x:v>
      </x:c>
      <x:c r="E15" s="8" t="s">
        <x:v>1103</x:v>
      </x:c>
      <x:c r="F15" s="14" t="s">
        <x:v>1190</x:v>
      </x:c>
      <x:c r="G15" s="14" t="s">
        <x:v>1191</x:v>
      </x:c>
      <x:c r="H15" s="14" t="s">
        <x:v>1192</x:v>
      </x:c>
      <x:c r="I15" s="9" t="s">
        <x:v>1097</x:v>
      </x:c>
    </x:row>
    <x:row r="16" ht="78" customHeight="1">
      <x:c r="A16" s="13" t="s">
        <x:v>1246</x:v>
      </x:c>
      <x:c r="B16" s="8" t="s">
        <x:v>40</x:v>
      </x:c>
      <x:c r="C16" s="8" t="s">
        <x:v>1247</x:v>
      </x:c>
      <x:c r="D16" s="8" t="s">
        <x:v>1248</x:v>
      </x:c>
      <x:c r="E16" s="8" t="s">
        <x:v>1110</x:v>
      </x:c>
      <x:c r="F16" s="14" t="s">
        <x:v>1199</x:v>
      </x:c>
      <x:c r="G16" s="14" t="s">
        <x:v>1191</x:v>
      </x:c>
      <x:c r="H16" s="14" t="s">
        <x:v>1249</x:v>
      </x:c>
      <x:c r="I16" s="9" t="s">
        <x:v>1104</x:v>
      </x:c>
    </x:row>
    <x:row r="17" ht="78" customHeight="1">
      <x:c r="A17" s="13" t="s">
        <x:v>1250</x:v>
      </x:c>
      <x:c r="B17" s="8" t="s">
        <x:v>1251</x:v>
      </x:c>
      <x:c r="C17" s="8" t="s">
        <x:v>1252</x:v>
      </x:c>
      <x:c r="D17" s="8" t="s">
        <x:v>1253</x:v>
      </x:c>
      <x:c r="E17" s="8" t="s">
        <x:v>1128</x:v>
      </x:c>
      <x:c r="F17" s="14" t="s">
        <x:v>1190</x:v>
      </x:c>
      <x:c r="G17" s="14" t="s">
        <x:v>1191</x:v>
      </x:c>
      <x:c r="H17" s="14" t="s">
        <x:v>1192</x:v>
      </x:c>
      <x:c r="I17" s="9" t="s">
        <x:v>1121</x:v>
      </x:c>
    </x:row>
    <x:row r="18" ht="78" customHeight="1">
      <x:c r="A18" s="13" t="s">
        <x:v>1254</x:v>
      </x:c>
      <x:c r="B18" s="8" t="s">
        <x:v>1255</x:v>
      </x:c>
      <x:c r="C18" s="8" t="s">
        <x:v>1256</x:v>
      </x:c>
      <x:c r="D18" s="8" t="s">
        <x:v>1257</x:v>
      </x:c>
      <x:c r="E18" s="8" t="s">
        <x:v>1258</x:v>
      </x:c>
      <x:c r="F18" s="14" t="s">
        <x:v>1190</x:v>
      </x:c>
      <x:c r="G18" s="14" t="s">
        <x:v>1191</x:v>
      </x:c>
      <x:c r="H18" s="14" t="s">
        <x:v>1192</x:v>
      </x:c>
      <x:c r="I18" s="9" t="s">
        <x:v>1121</x:v>
      </x:c>
    </x:row>
    <x:row r="19" ht="78" customHeight="1">
      <x:c r="A19" s="13" t="s">
        <x:v>1259</x:v>
      </x:c>
      <x:c r="B19" s="8" t="s">
        <x:v>42</x:v>
      </x:c>
      <x:c r="C19" s="8" t="s">
        <x:v>1260</x:v>
      </x:c>
      <x:c r="D19" s="8" t="s">
        <x:v>1261</x:v>
      </x:c>
      <x:c r="E19" s="8" t="s">
        <x:v>1262</x:v>
      </x:c>
      <x:c r="F19" s="14" t="s">
        <x:v>1211</x:v>
      </x:c>
      <x:c r="G19" s="14" t="s">
        <x:v>1191</x:v>
      </x:c>
      <x:c r="H19" s="14" t="s">
        <x:v>1263</x:v>
      </x:c>
      <x:c r="I19" s="9" t="s">
        <x:v>780</x:v>
      </x:c>
    </x:row>
    <x:row r="20" ht="78" customHeight="1">
      <x:c r="A20" s="15" t="s">
        <x:v>1264</x:v>
      </x:c>
      <x:c r="B20" s="11" t="s">
        <x:v>1265</x:v>
      </x:c>
      <x:c r="C20" s="11" t="s">
        <x:v>1266</x:v>
      </x:c>
      <x:c r="D20" s="11" t="s">
        <x:v>1267</x:v>
      </x:c>
      <x:c r="E20" s="11" t="s">
        <x:v>1268</x:v>
      </x:c>
      <x:c r="F20" s="16" t="s">
        <x:v>1190</x:v>
      </x:c>
      <x:c r="G20" s="16" t="s">
        <x:v>1191</x:v>
      </x:c>
      <x:c r="H20" s="16" t="s">
        <x:v>1192</x:v>
      </x:c>
      <x:c r="I20" s="12" t="s">
        <x:v>1269</x:v>
      </x:c>
    </x:row>
    <x:row r="22" ht="28" customHeight="1">
      <x:c r="A22" s="17" t="s">
        <x:v>329</x:v>
      </x:c>
      <x:c r="B22" s="17"/>
      <x:c r="C22" s="17"/>
      <x:c r="D22" s="17"/>
      <x:c r="E22" s="17"/>
      <x:c r="F22" s="17"/>
      <x:c r="G22" s="17"/>
      <x:c r="H22" s="17"/>
      <x:c r="I22" s="17"/>
    </x:row>
  </x:sheetData>
  <x:mergeCells>
    <x:mergeCell ref="A1:I1"/>
    <x:mergeCell ref="A2:I2"/>
    <x:mergeCell ref="A3:I3"/>
    <x:mergeCell ref="A22:I22"/>
  </x:mergeCells>
  <x:conditionalFormatting sqref="F5:F20">
    <x:cfRule type="expression" dxfId="0" priority="1">
      <x:formula>F5="CRITICAL"</x:formula>
    </x:cfRule>
    <x:cfRule type="expression" dxfId="1" priority="2">
      <x:formula>F5="HIGH"</x:formula>
    </x:cfRule>
  </x:conditionalFormatting>
  <x:conditionalFormatting sqref="G5:G20">
    <x:cfRule type="expression" dxfId="2" priority="3">
      <x:formula>G5="DONE"</x:formula>
    </x:cfRule>
    <x:cfRule type="expression" dxfId="1" priority="4">
      <x:formula>OR(G5="NOT STARTED",G5="PENDING APPROVAL")</x:formula>
    </x:cfRule>
  </x:conditionalFormatting>
  <x:dataValidations count="3">
    <x:dataValidation type="list" sqref="F5:F20">
      <x:formula1>"CRITICAL,HIGH,MEDIUM,LOW"</x:formula1>
    </x:dataValidation>
    <x:dataValidation type="list" sqref="G5:G20">
      <x:formula1>"NOT STARTED,IN PROGRESS,PENDING APPROVAL,DONE,REMOVED"</x:formula1>
    </x:dataValidation>
    <x:dataValidation type="list" sqref="H5:H20">
      <x:formula1>"YES,NO,YES if currently visible,NO if omitted; YES if intended for publication/schema,YES for target UX,NO for current launch; YES for detail-route launch"</x:formula1>
    </x:dataValidation>
  </x:dataValidations>
  <x:pageMargins left="0.7" right="0.7" top="0.75" bottom="0.75" header="0.3" footer="0.3"/>
  <x:tableParts count="1">
    <x:tablePart xmlns:r="http://schemas.openxmlformats.org/officeDocument/2006/relationships" r:id="R47c6bc99dc3941ed"/>
  </x:tableParts>
</x:worksheet>
</file>

<file path=xl/worksheets/sheet9.xml><?xml version="1.0" encoding="utf-8"?>
<x:worksheet xmlns:x="http://schemas.openxmlformats.org/spreadsheetml/2006/main">
  <x:sheetFormatPr defaultColWidth="9" defaultRowHeight="14"/>
  <x:cols>
    <x:col min="1" max="1" width="10" customWidth="1"/>
    <x:col min="2" max="2" width="48" customWidth="1"/>
    <x:col min="3" max="3" width="25" customWidth="1"/>
    <x:col min="4" max="4" width="62" customWidth="1"/>
    <x:col min="5" max="5" width="48" customWidth="1"/>
  </x:cols>
  <x:sheetData>
    <x:row r="1" ht="36" customHeight="1">
      <x:c r="A1" s="1" t="s">
        <x:v>1270</x:v>
      </x:c>
      <x:c r="B1" s="1"/>
      <x:c r="C1" s="1"/>
      <x:c r="D1" s="1"/>
      <x:c r="E1" s="1"/>
    </x:row>
    <x:row r="2" ht="32" customHeight="1">
      <x:c r="A2" s="2" t="s">
        <x:v>1271</x:v>
      </x:c>
      <x:c r="B2" s="2"/>
      <x:c r="C2" s="2"/>
      <x:c r="D2" s="2"/>
      <x:c r="E2" s="2"/>
    </x:row>
    <x:row r="3" ht="28" customHeight="1">
      <x:c r="A3" s="3" t="s">
        <x:v>75</x:v>
      </x:c>
      <x:c r="B3" s="3"/>
      <x:c r="C3" s="3"/>
      <x:c r="D3" s="3"/>
      <x:c r="E3" s="3"/>
    </x:row>
    <x:row r="4" ht="34" customHeight="1">
      <x:c r="A4" s="4" t="s">
        <x:v>1184</x:v>
      </x:c>
      <x:c r="B4" s="5" t="s">
        <x:v>969</x:v>
      </x:c>
      <x:c r="C4" s="5" t="s">
        <x:v>1272</x:v>
      </x:c>
      <x:c r="D4" s="5" t="s">
        <x:v>1273</x:v>
      </x:c>
      <x:c r="E4" s="6" t="s">
        <x:v>1274</x:v>
      </x:c>
    </x:row>
    <x:row r="5" ht="76" customHeight="1">
      <x:c r="A5" s="7" t="s">
        <x:v>1275</x:v>
      </x:c>
      <x:c r="B5" s="8" t="s">
        <x:v>1276</x:v>
      </x:c>
      <x:c r="C5" s="8" t="s">
        <x:v>1277</x:v>
      </x:c>
      <x:c r="D5" s="8" t="s">
        <x:v>1278</x:v>
      </x:c>
      <x:c r="E5" s="9" t="s">
        <x:v>1279</x:v>
      </x:c>
    </x:row>
    <x:row r="6" ht="76" customHeight="1">
      <x:c r="A6" s="7" t="s">
        <x:v>1280</x:v>
      </x:c>
      <x:c r="B6" s="8" t="s">
        <x:v>1281</x:v>
      </x:c>
      <x:c r="C6" s="8" t="s">
        <x:v>1282</x:v>
      </x:c>
      <x:c r="D6" s="8" t="s">
        <x:v>1283</x:v>
      </x:c>
      <x:c r="E6" s="9" t="s">
        <x:v>1284</x:v>
      </x:c>
    </x:row>
    <x:row r="7" ht="76" customHeight="1">
      <x:c r="A7" s="7" t="s">
        <x:v>1285</x:v>
      </x:c>
      <x:c r="B7" s="8" t="s">
        <x:v>1286</x:v>
      </x:c>
      <x:c r="C7" s="8" t="s">
        <x:v>1287</x:v>
      </x:c>
      <x:c r="D7" s="8" t="s">
        <x:v>1288</x:v>
      </x:c>
      <x:c r="E7" s="9" t="s">
        <x:v>1289</x:v>
      </x:c>
    </x:row>
    <x:row r="8" ht="76" customHeight="1">
      <x:c r="A8" s="7" t="s">
        <x:v>1290</x:v>
      </x:c>
      <x:c r="B8" s="8" t="s">
        <x:v>1291</x:v>
      </x:c>
      <x:c r="C8" s="8" t="s">
        <x:v>1292</x:v>
      </x:c>
      <x:c r="D8" s="8" t="s">
        <x:v>1293</x:v>
      </x:c>
      <x:c r="E8" s="9" t="s">
        <x:v>1294</x:v>
      </x:c>
    </x:row>
    <x:row r="9" ht="76" customHeight="1">
      <x:c r="A9" s="7" t="s">
        <x:v>1295</x:v>
      </x:c>
      <x:c r="B9" s="8" t="s">
        <x:v>1296</x:v>
      </x:c>
      <x:c r="C9" s="8" t="s">
        <x:v>1297</x:v>
      </x:c>
      <x:c r="D9" s="8" t="s">
        <x:v>1298</x:v>
      </x:c>
      <x:c r="E9" s="9" t="s">
        <x:v>1299</x:v>
      </x:c>
    </x:row>
    <x:row r="10" ht="76" customHeight="1">
      <x:c r="A10" s="7" t="s">
        <x:v>1300</x:v>
      </x:c>
      <x:c r="B10" s="8" t="s">
        <x:v>1301</x:v>
      </x:c>
      <x:c r="C10" s="8" t="s">
        <x:v>1302</x:v>
      </x:c>
      <x:c r="D10" s="8" t="s">
        <x:v>1303</x:v>
      </x:c>
      <x:c r="E10" s="9" t="s">
        <x:v>1304</x:v>
      </x:c>
    </x:row>
    <x:row r="11" ht="76" customHeight="1">
      <x:c r="A11" s="7" t="s">
        <x:v>6</x:v>
      </x:c>
      <x:c r="B11" s="8" t="s">
        <x:v>1305</x:v>
      </x:c>
      <x:c r="C11" s="8" t="s">
        <x:v>1306</x:v>
      </x:c>
      <x:c r="D11" s="8" t="s">
        <x:v>1307</x:v>
      </x:c>
      <x:c r="E11" s="9" t="s">
        <x:v>1308</x:v>
      </x:c>
    </x:row>
    <x:row r="12" ht="76" customHeight="1">
      <x:c r="A12" s="7" t="s">
        <x:v>1309</x:v>
      </x:c>
      <x:c r="B12" s="8" t="s">
        <x:v>1310</x:v>
      </x:c>
      <x:c r="C12" s="8" t="s">
        <x:v>1311</x:v>
      </x:c>
      <x:c r="D12" s="8" t="s">
        <x:v>1312</x:v>
      </x:c>
      <x:c r="E12" s="9" t="s">
        <x:v>1313</x:v>
      </x:c>
    </x:row>
    <x:row r="13" ht="76" customHeight="1">
      <x:c r="A13" s="7" t="s">
        <x:v>1314</x:v>
      </x:c>
      <x:c r="B13" s="8" t="s">
        <x:v>1315</x:v>
      </x:c>
      <x:c r="C13" s="8" t="s">
        <x:v>1316</x:v>
      </x:c>
      <x:c r="D13" s="8" t="s">
        <x:v>1317</x:v>
      </x:c>
      <x:c r="E13" s="9" t="s">
        <x:v>1318</x:v>
      </x:c>
    </x:row>
    <x:row r="14" ht="76" customHeight="1">
      <x:c r="A14" s="7" t="s">
        <x:v>1319</x:v>
      </x:c>
      <x:c r="B14" s="8" t="s">
        <x:v>1320</x:v>
      </x:c>
      <x:c r="C14" s="8" t="s">
        <x:v>1321</x:v>
      </x:c>
      <x:c r="D14" s="8" t="s">
        <x:v>1322</x:v>
      </x:c>
      <x:c r="E14" s="9" t="s">
        <x:v>1323</x:v>
      </x:c>
    </x:row>
    <x:row r="15" ht="76" customHeight="1">
      <x:c r="A15" s="7" t="s">
        <x:v>1324</x:v>
      </x:c>
      <x:c r="B15" s="8" t="s">
        <x:v>1325</x:v>
      </x:c>
      <x:c r="C15" s="8" t="s">
        <x:v>1326</x:v>
      </x:c>
      <x:c r="D15" s="8" t="s">
        <x:v>1327</x:v>
      </x:c>
      <x:c r="E15" s="9" t="s">
        <x:v>1328</x:v>
      </x:c>
    </x:row>
    <x:row r="16" ht="76" customHeight="1">
      <x:c r="A16" s="10" t="s">
        <x:v>1329</x:v>
      </x:c>
      <x:c r="B16" s="11" t="s">
        <x:v>1330</x:v>
      </x:c>
      <x:c r="C16" s="11" t="s">
        <x:v>1331</x:v>
      </x:c>
      <x:c r="D16" s="11" t="s">
        <x:v>1332</x:v>
      </x:c>
      <x:c r="E16" s="12" t="s">
        <x:v>1333</x:v>
      </x:c>
    </x:row>
  </x:sheetData>
  <x:mergeCells>
    <x:mergeCell ref="A1:E1"/>
    <x:mergeCell ref="A2:E2"/>
    <x:mergeCell ref="A3:E3"/>
  </x:mergeCells>
  <x:pageMargins left="0.7" right="0.7" top="0.75" bottom="0.75" header="0.3" footer="0.3"/>
  <x:tableParts count="1">
    <x:tablePart xmlns:r="http://schemas.openxmlformats.org/officeDocument/2006/relationships" r:id="Re1fb1423a40d48b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1" hidden="0" customWidth="1"/>
    <x:col min="2" max="2" width="13.130000114440918" hidden="0" customWidth="1"/>
    <x:col min="3" max="3" width="11.5" hidden="0" customWidth="1"/>
    <x:col min="4" max="4" width="18.1299991607666" hidden="0" customWidth="1"/>
    <x:col min="5" max="5" width="19.3799991607666" hidden="0" customWidth="1"/>
    <x:col min="6" max="6" width="10.25" hidden="0" customWidth="1"/>
    <x:col min="7" max="7" width="18.1299991607666" hidden="0" customWidth="1"/>
    <x:col min="8" max="8" width="6.25" hidden="0" customWidth="1"/>
    <x:col min="9" max="9" width="19.3799991607666" hidden="0" customWidth="1"/>
    <x:col min="10" max="10" width="15.630000114440918" hidden="0" customWidth="1"/>
    <x:col min="11" max="11" width="21.8799991607666" hidden="0" customWidth="1"/>
    <x:col min="12" max="12" width="29.3799991607666" hidden="0" customWidth="1"/>
    <x:col min="13" max="13" width="30.6299991607666" hidden="0" customWidth="1"/>
    <x:col min="14" max="14" width="25.6299991607666" hidden="0" customWidth="1"/>
    <x:col min="15" max="15" width="17.5" hidden="0" customWidth="1"/>
    <x:col min="16" max="16" width="13.130000114440918" hidden="0" customWidth="1"/>
    <x:col min="17" max="17" width="36.25" hidden="0" customWidth="1"/>
    <x:col min="18" max="18" width="21.8799991607666" hidden="0" customWidth="1"/>
    <x:col min="19" max="19" width="25" hidden="0" customWidth="1"/>
    <x:col min="20" max="20" width="26.25" hidden="0" customWidth="1"/>
    <x:col min="21" max="21" width="25.6299991607666" hidden="0" customWidth="1"/>
    <x:col min="22" max="22" width="25.6299991607666" hidden="0" customWidth="1"/>
    <x:col min="23" max="23" width="16.8799991607666" hidden="0" customWidth="1"/>
    <x:col min="24" max="24" width="15.630000114440918" hidden="0" customWidth="1"/>
    <x:col min="25" max="25" width="13.130000114440918" hidden="0" customWidth="1"/>
    <x:col min="26" max="26" width="13.130000114440918" hidden="0" customWidth="1"/>
    <x:col min="27" max="27" width="31.25" hidden="0" customWidth="1"/>
    <x:col min="28" max="28" width="18.1299991607666" hidden="0" customWidth="1"/>
    <x:col min="29" max="29" width="28.1299991607666" hidden="0" customWidth="1"/>
    <x:col min="30" max="30" width="15" hidden="0" customWidth="1"/>
    <x:col min="31" max="31" width="11.880000114440918" hidden="0" customWidth="1"/>
  </x:cols>
  <x:sheetData>
    <x:row r="1" ht="25.5" customHeight="1">
      <x:c r="A1" s="51" t="str">
        <x:v>PAGE–SECTION MAPPING / IMPLEMENTATION CONTROL</x:v>
      </x:c>
      <x:c r="B1" s="51"/>
      <x:c r="C1" s="51"/>
      <x:c r="D1" s="51"/>
      <x:c r="E1" s="51"/>
      <x:c r="F1" s="51"/>
      <x:c r="G1" s="51"/>
      <x:c r="H1" s="51"/>
      <x:c r="I1" s="51"/>
      <x:c r="J1" s="51"/>
      <x:c r="K1" s="51"/>
      <x:c r="L1" s="51"/>
      <x:c r="M1" s="51"/>
      <x:c r="N1" s="51"/>
      <x:c r="O1" s="51"/>
      <x:c r="P1" s="51"/>
      <x:c r="Q1" s="51"/>
      <x:c r="R1" s="51"/>
      <x:c r="S1" s="51"/>
      <x:c r="T1" s="51"/>
      <x:c r="U1" s="51"/>
      <x:c r="V1" s="51"/>
      <x:c r="W1" s="51"/>
      <x:c r="X1" s="51"/>
      <x:c r="Y1" s="51"/>
      <x:c r="Z1" s="51"/>
      <x:c r="AA1" s="51"/>
      <x:c r="AB1" s="51"/>
      <x:c r="AC1" s="51"/>
      <x:c r="AD1" s="51"/>
      <x:c r="AE1" s="51"/>
    </x:row>
    <x:row r="2" ht="18.75" customHeight="1">
      <x:c r="A2" s="90" t="str">
        <x:v>Galdino &amp; Partner — 44 aligned content blocks plus 2 website-only prototype sections. Audit coverage: undefined text files (undefined lines) and undefined assets. Verified 14 Agustus 2026.</x:v>
      </x:c>
      <x:c r="B2" s="90"/>
      <x:c r="C2" s="90"/>
      <x:c r="D2" s="90"/>
      <x:c r="E2" s="90"/>
      <x:c r="F2" s="90"/>
      <x:c r="G2" s="90"/>
      <x:c r="H2" s="90"/>
      <x:c r="I2" s="90"/>
      <x:c r="J2" s="90"/>
      <x:c r="K2" s="90"/>
      <x:c r="L2" s="90"/>
      <x:c r="M2" s="90"/>
      <x:c r="N2" s="90"/>
      <x:c r="O2" s="90"/>
      <x:c r="P2" s="90"/>
      <x:c r="Q2" s="90"/>
      <x:c r="R2" s="90"/>
      <x:c r="S2" s="90"/>
      <x:c r="T2" s="90"/>
      <x:c r="U2" s="90"/>
      <x:c r="V2" s="90"/>
      <x:c r="W2" s="90"/>
      <x:c r="X2" s="90"/>
      <x:c r="Y2" s="90"/>
      <x:c r="Z2" s="90"/>
      <x:c r="AA2" s="90"/>
      <x:c r="AB2" s="90"/>
      <x:c r="AC2" s="90"/>
      <x:c r="AD2" s="90"/>
      <x:c r="AE2" s="90"/>
    </x:row>
    <x:row r="3" ht="21" customHeight="1">
      <x:c r="A3" s="91" t="str">
        <x:v>DRAFT MAPPING is not final approval. No row may be marked MAPPED until copy is approved, the wireframe/implemented section is reviewed by UI/UX, blockers are resolved, and reviewer/date fields are completed.</x:v>
      </x:c>
      <x:c r="B3" s="91"/>
      <x:c r="C3" s="91"/>
      <x:c r="D3" s="91"/>
      <x:c r="E3" s="91"/>
      <x:c r="F3" s="91"/>
      <x:c r="G3" s="91"/>
      <x:c r="H3" s="91"/>
      <x:c r="I3" s="91"/>
      <x:c r="J3" s="91"/>
      <x:c r="K3" s="91"/>
      <x:c r="L3" s="91"/>
      <x:c r="M3" s="91"/>
      <x:c r="N3" s="91"/>
      <x:c r="O3" s="91"/>
      <x:c r="P3" s="91"/>
      <x:c r="Q3" s="91"/>
      <x:c r="R3" s="91"/>
      <x:c r="S3" s="91"/>
      <x:c r="T3" s="91"/>
      <x:c r="U3" s="91"/>
      <x:c r="V3" s="91"/>
      <x:c r="W3" s="91"/>
      <x:c r="X3" s="91"/>
      <x:c r="Y3" s="91"/>
      <x:c r="Z3" s="91"/>
      <x:c r="AA3" s="91"/>
      <x:c r="AB3" s="91"/>
      <x:c r="AC3" s="91"/>
      <x:c r="AD3" s="91"/>
      <x:c r="AE3" s="91"/>
    </x:row>
    <x:row r="4" ht="31.5" customHeight="1">
      <x:c r="A4" s="62" t="str">
        <x:v>Mapping ID</x:v>
      </x:c>
      <x:c r="B4" s="62" t="str">
        <x:v>Mapping Type</x:v>
      </x:c>
      <x:c r="C4" s="62" t="str">
        <x:v>Content ID</x:v>
      </x:c>
      <x:c r="D4" s="62" t="str">
        <x:v>Page</x:v>
      </x:c>
      <x:c r="E4" s="62" t="str">
        <x:v>Lifecycle</x:v>
      </x:c>
      <x:c r="F4" s="62" t="str">
        <x:v>Locale Coverage</x:v>
      </x:c>
      <x:c r="G4" s="62" t="str">
        <x:v>Route / Target</x:v>
      </x:c>
      <x:c r="H4" s="62" t="str">
        <x:v>Order</x:v>
      </x:c>
      <x:c r="I4" s="62" t="str">
        <x:v>Section / Component</x:v>
      </x:c>
      <x:c r="J4" s="62" t="str">
        <x:v>Section Family</x:v>
      </x:c>
      <x:c r="K4" s="62" t="str">
        <x:v>Variant</x:v>
      </x:c>
      <x:c r="L4" s="62" t="str">
        <x:v>Headline / Identifier</x:v>
      </x:c>
      <x:c r="M4" s="62" t="str">
        <x:v>Implemented Component / Location</x:v>
      </x:c>
      <x:c r="N4" s="62" t="str">
        <x:v>Implementation Status</x:v>
      </x:c>
      <x:c r="O4" s="62" t="str">
        <x:v>Asset ID</x:v>
      </x:c>
      <x:c r="P4" s="62" t="str">
        <x:v>Reference ID</x:v>
      </x:c>
      <x:c r="Q4" s="62" t="str">
        <x:v>Structure Note</x:v>
      </x:c>
      <x:c r="R4" s="62" t="str">
        <x:v>Wireframe Required</x:v>
      </x:c>
      <x:c r="S4" s="62" t="str">
        <x:v>Wireframe ID</x:v>
      </x:c>
      <x:c r="T4" s="62" t="str">
        <x:v>Decision Category</x:v>
      </x:c>
      <x:c r="U4" s="62" t="str">
        <x:v>Copy Approval Status</x:v>
      </x:c>
      <x:c r="V4" s="62" t="str">
        <x:v>Publication Status</x:v>
      </x:c>
      <x:c r="W4" s="62" t="str">
        <x:v>Primary CTA</x:v>
      </x:c>
      <x:c r="X4" s="62" t="str">
        <x:v>Destination</x:v>
      </x:c>
      <x:c r="Y4" s="62" t="str">
        <x:v>UI/UX Review</x:v>
      </x:c>
      <x:c r="Z4" s="62" t="str">
        <x:v>Approval Status</x:v>
      </x:c>
      <x:c r="AA4" s="62" t="str">
        <x:v>Source Evidence</x:v>
      </x:c>
      <x:c r="AB4" s="62" t="str">
        <x:v>Structure QA</x:v>
      </x:c>
      <x:c r="AC4" s="62" t="str">
        <x:v>Mapping Status</x:v>
      </x:c>
      <x:c r="AD4" s="62" t="str">
        <x:v>Reviewer</x:v>
      </x:c>
      <x:c r="AE4" s="62" t="str">
        <x:v>Review Date</x:v>
      </x:c>
    </x:row>
    <x:row r="5" ht="58.5" customHeight="1">
      <x:c r="A5" s="66" t="str">
        <x:v>MAP-001</x:v>
      </x:c>
      <x:c r="B5" s="66" t="str">
        <x:v>CONTENT BLOCK</x:v>
      </x:c>
      <x:c r="C5" s="66" t="str">
        <x:v>H-001</x:v>
      </x:c>
      <x:c r="D5" s="66" t="str">
        <x:v>Home</x:v>
      </x:c>
      <x:c r="E5" s="66" t="str">
        <x:v>CURRENT</x:v>
      </x:c>
      <x:c r="F5" s="66" t="str">
        <x:v>ID + EN</x:v>
      </x:c>
      <x:c r="G5" s="66" t="str">
        <x:v>/{locale}/</x:v>
      </x:c>
      <x:c r="H5" s="66" t="n">
        <x:v>1</x:v>
      </x:c>
      <x:c r="I5" s="65" t="str">
        <x:v>Hero</x:v>
      </x:c>
      <x:c r="J5" s="65" t="str">
        <x:v>Hero</x:v>
      </x:c>
      <x:c r="K5" s="65" t="str">
        <x:v>Immersive hero / dual CTA</x:v>
      </x:c>
      <x:c r="L5" s="65" t="str">
        <x:v>Jalur perizinan yang lebih jelas untuk keputusan bisnis Anda.</x:v>
      </x:c>
      <x:c r="M5" s="65" t="str">
        <x:v>src/components/home/HomeHero.astro</x:v>
      </x:c>
      <x:c r="N5" s="65" t="str">
        <x:v>IMPLEMENTED – STRUCTURE EXISTS</x:v>
      </x:c>
      <x:c r="O5" s="65" t="str">
        <x:v>AST-014</x:v>
      </x:c>
      <x:c r="P5" s="65" t="str">
        <x:v>REF-CODE-003</x:v>
      </x:c>
      <x:c r="Q5" s="65" t="str">
        <x:v>Hero and both CTA destinations exist. Final content approval is still required.</x:v>
      </x:c>
      <x:c r="R5" s="65" t="str">
        <x:v>NO – EXISTING IMPLEMENTATION REFERENCE</x:v>
      </x:c>
      <x:c r="S5" s="65" t="str">
        <x:v>EXISTING UI – HOME HERO</x:v>
      </x:c>
      <x:c r="T5" s="65" t="str">
        <x:v>DIPERBARUI</x:v>
      </x:c>
      <x:c r="U5" s="65" t="str">
        <x:v>READY FOR CONTENT APPROVAL</x:v>
      </x:c>
      <x:c r="V5" s="65" t="str">
        <x:v>FINAL – FAKTA TERKONFIRMASI</x:v>
      </x:c>
      <x:c r="W5" s="65" t="str">
        <x:v>Ajukan Konsultasi</x:v>
      </x:c>
      <x:c r="X5" s="65" t="str">
        <x:v>Contact</x:v>
      </x:c>
      <x:c r="Y5" s="66" t="str">
        <x:v>NOT REVIEWED</x:v>
      </x:c>
      <x:c r="Z5" s="66" t="str">
        <x:v>NOT APPROVED</x:v>
      </x:c>
      <x:c r="AA5" s="65" t="str">
        <x:v>03_Content_ID::H-001; src/components/home/HomeHero.astro; REF-CODE-003</x:v>
      </x:c>
      <x:c r="AB5" s="66" t="str">
        <x:f>IF(COUNTIF($A$5:$A$50,A5)&lt;&gt;1,"FAIL – DUPLICATE MAPPING ID",IF(COUNTIF($C$5:$C$50,C5)&lt;&gt;1,"FAIL – DUPLICATE CONTENT ID",IF(COUNTA(A5:AA5)&lt;27,"INCOMPLETE","PASS – STRUCTURE")))</x:f>
        <x:v>PASS – STRUCTURE</x:v>
      </x:c>
      <x:c r="AC5" s="66" t="str">
        <x:f>IF(B5="WEBSITE-ONLY","OPEN – DOCUMENT DECISION REQUIRED",IF(LEFT(U5,5)&lt;&gt;"READY","BLOCKED – COPY/DEPENDENCY",IF(OR(LEFT(N5,7)="PARTIAL",LEFT(N5,15)="NOT IMPLEMENTED"),"DRAFT MAPPING – GAP OPEN","DRAFT MAPPING – READY FOR UI/UX REVIEW")))</x:f>
        <x:v>DRAFT MAPPING – READY FOR UI/UX REVIEW</x:v>
      </x:c>
      <x:c r="AD5" s="65" t="str"/>
      <x:c r="AE5" s="65" t="str"/>
    </x:row>
    <x:row r="6" ht="58.5" customHeight="1">
      <x:c r="A6" s="66" t="str">
        <x:v>MAP-002</x:v>
      </x:c>
      <x:c r="B6" s="66" t="str">
        <x:v>CONTENT BLOCK</x:v>
      </x:c>
      <x:c r="C6" s="66" t="str">
        <x:v>H-002</x:v>
      </x:c>
      <x:c r="D6" s="66" t="str">
        <x:v>Home</x:v>
      </x:c>
      <x:c r="E6" s="66" t="str">
        <x:v>CURRENT</x:v>
      </x:c>
      <x:c r="F6" s="66" t="str">
        <x:v>ID + EN</x:v>
      </x:c>
      <x:c r="G6" s="66" t="str">
        <x:v>/{locale}/</x:v>
      </x:c>
      <x:c r="H6" s="66" t="n">
        <x:v>2</x:v>
      </x:c>
      <x:c r="I6" s="65" t="str">
        <x:v>Problem orientation</x:v>
      </x:c>
      <x:c r="J6" s="65" t="str">
        <x:v>Orientation</x:v>
      </x:c>
      <x:c r="K6" s="65" t="str">
        <x:v>Problem orientation band</x:v>
      </x:c>
      <x:c r="L6" s="65" t="str">
        <x:v>Kebutuhan izin berubah mengikuti kegiatan bisnis Anda.</x:v>
      </x:c>
      <x:c r="M6" s="65" t="str">
        <x:v>NOT FOUND AS A DEDICATED SECTION</x:v>
      </x:c>
      <x:c r="N6" s="65" t="str">
        <x:v>NOT IMPLEMENTED – SECTION OMITTED</x:v>
      </x:c>
      <x:c r="O6" s="65" t="str">
        <x:v>N/A – NO MEDIA REQUIRED</x:v>
      </x:c>
      <x:c r="P6" s="65" t="str">
        <x:v>REF-DOC-001</x:v>
      </x:c>
      <x:c r="Q6" s="65" t="str">
        <x:v>The current Page Specifications explicitly state that the former problem statement is intentionally omitted; keep only after a content/UX decision.</x:v>
      </x:c>
      <x:c r="R6" s="65" t="str">
        <x:v>YES – SECTION DECISION REQUIRED</x:v>
      </x:c>
      <x:c r="S6" s="65" t="str">
        <x:v>WF-HOME-02 – TO CREATE OR REMOVE</x:v>
      </x:c>
      <x:c r="T6" s="65" t="str">
        <x:v>TIDAK DITEMUKAN DI WEBSITE</x:v>
      </x:c>
      <x:c r="U6" s="65" t="str">
        <x:v>READY FOR CONTENT APPROVAL</x:v>
      </x:c>
      <x:c r="V6" s="65" t="str">
        <x:v>FINAL</x:v>
      </x:c>
      <x:c r="W6" s="65" t="str">
        <x:v>Lihat Kategori Layanan</x:v>
      </x:c>
      <x:c r="X6" s="65" t="str">
        <x:v>Services</x:v>
      </x:c>
      <x:c r="Y6" s="66" t="str">
        <x:v>NOT REVIEWED</x:v>
      </x:c>
      <x:c r="Z6" s="66" t="str">
        <x:v>NOT APPROVED</x:v>
      </x:c>
      <x:c r="AA6" s="65" t="str">
        <x:v>03_Content_ID::H-002; NOT FOUND AS A DEDICATED SECTION; REF-DOC-001</x:v>
      </x:c>
      <x:c r="AB6" s="66" t="str">
        <x:f>IF(COUNTIF($A$5:$A$50,A6)&lt;&gt;1,"FAIL – DUPLICATE MAPPING ID",IF(COUNTIF($C$5:$C$50,C6)&lt;&gt;1,"FAIL – DUPLICATE CONTENT ID",IF(COUNTA(A6:AA6)&lt;27,"INCOMPLETE","PASS – STRUCTURE")))</x:f>
        <x:v>PASS – STRUCTURE</x:v>
      </x:c>
      <x:c r="AC6" s="66" t="str">
        <x:f>IF(B6="WEBSITE-ONLY","OPEN – DOCUMENT DECISION REQUIRED",IF(LEFT(U6,5)&lt;&gt;"READY","BLOCKED – COPY/DEPENDENCY",IF(OR(LEFT(N6,7)="PARTIAL",LEFT(N6,15)="NOT IMPLEMENTED"),"DRAFT MAPPING – GAP OPEN","DRAFT MAPPING – READY FOR UI/UX REVIEW")))</x:f>
        <x:v>DRAFT MAPPING – GAP OPEN</x:v>
      </x:c>
      <x:c r="AD6" s="65" t="str"/>
      <x:c r="AE6" s="65" t="str"/>
    </x:row>
    <x:row r="7" ht="58.5" customHeight="1">
      <x:c r="A7" s="66" t="str">
        <x:v>MAP-003</x:v>
      </x:c>
      <x:c r="B7" s="66" t="str">
        <x:v>CONTENT BLOCK</x:v>
      </x:c>
      <x:c r="C7" s="66" t="str">
        <x:v>H-003</x:v>
      </x:c>
      <x:c r="D7" s="66" t="str">
        <x:v>Home</x:v>
      </x:c>
      <x:c r="E7" s="66" t="str">
        <x:v>CURRENT</x:v>
      </x:c>
      <x:c r="F7" s="66" t="str">
        <x:v>ID + EN</x:v>
      </x:c>
      <x:c r="G7" s="66" t="str">
        <x:v>/{locale}/</x:v>
      </x:c>
      <x:c r="H7" s="66" t="n">
        <x:v>3</x:v>
      </x:c>
      <x:c r="I7" s="65" t="str">
        <x:v>Service framework intro</x:v>
      </x:c>
      <x:c r="J7" s="65" t="str">
        <x:v>Service Intro</x:v>
      </x:c>
      <x:c r="K7" s="65" t="str">
        <x:v>Four-category framework intro</x:v>
      </x:c>
      <x:c r="L7" s="65" t="str">
        <x:v>Empat kategori. Satu jalur kerja yang terurut.</x:v>
      </x:c>
      <x:c r="M7" s="65" t="str">
        <x:v>src/components/home/ServiceCarousel.astro</x:v>
      </x:c>
      <x:c r="N7" s="65" t="str">
        <x:v>PARTIAL – WEBSITE USES 15 PROTOTYPE ITEMS</x:v>
      </x:c>
      <x:c r="O7" s="65" t="str">
        <x:v>N/A – GENERATED SERVICE VISUAL</x:v>
      </x:c>
      <x:c r="P7" s="65" t="str">
        <x:v>REF-CODE-006</x:v>
      </x:c>
      <x:c r="Q7" s="65" t="str">
        <x:v>Documented four-category framework conflicts with the current 15-item prototype rail.</x:v>
      </x:c>
      <x:c r="R7" s="65" t="str">
        <x:v>YES – 4-CATEGORY STRUCTURE REQUIRED</x:v>
      </x:c>
      <x:c r="S7" s="65" t="str">
        <x:v>WF-HOME-03 – TO CREATE</x:v>
      </x:c>
      <x:c r="T7" s="65" t="str">
        <x:v>DIPERBARUI</x:v>
      </x:c>
      <x:c r="U7" s="65" t="str">
        <x:v>READY FOR CONTENT APPROVAL</x:v>
      </x:c>
      <x:c r="V7" s="65" t="str">
        <x:v>FINAL – FAKTA TERKONFIRMASI</x:v>
      </x:c>
      <x:c r="W7" s="65" t="str">
        <x:v>Lihat Semua Layanan</x:v>
      </x:c>
      <x:c r="X7" s="65" t="str">
        <x:v>Services</x:v>
      </x:c>
      <x:c r="Y7" s="66" t="str">
        <x:v>NOT REVIEWED</x:v>
      </x:c>
      <x:c r="Z7" s="66" t="str">
        <x:v>NOT APPROVED</x:v>
      </x:c>
      <x:c r="AA7" s="65" t="str">
        <x:v>03_Content_ID::H-003; src/components/home/ServiceCarousel.astro; REF-CODE-006</x:v>
      </x:c>
      <x:c r="AB7" s="66" t="str">
        <x:f>IF(COUNTIF($A$5:$A$50,A7)&lt;&gt;1,"FAIL – DUPLICATE MAPPING ID",IF(COUNTIF($C$5:$C$50,C7)&lt;&gt;1,"FAIL – DUPLICATE CONTENT ID",IF(COUNTA(A7:AA7)&lt;27,"INCOMPLETE","PASS – STRUCTURE")))</x:f>
        <x:v>PASS – STRUCTURE</x:v>
      </x:c>
      <x:c r="AC7" s="66" t="str">
        <x:f>IF(B7="WEBSITE-ONLY","OPEN – DOCUMENT DECISION REQUIRED",IF(LEFT(U7,5)&lt;&gt;"READY","BLOCKED – COPY/DEPENDENCY",IF(OR(LEFT(N7,7)="PARTIAL",LEFT(N7,15)="NOT IMPLEMENTED"),"DRAFT MAPPING – GAP OPEN","DRAFT MAPPING – READY FOR UI/UX REVIEW")))</x:f>
        <x:v>DRAFT MAPPING – GAP OPEN</x:v>
      </x:c>
      <x:c r="AD7" s="65" t="str"/>
      <x:c r="AE7" s="65" t="str"/>
    </x:row>
    <x:row r="8" ht="58.5" customHeight="1">
      <x:c r="A8" s="66" t="str">
        <x:v>MAP-004</x:v>
      </x:c>
      <x:c r="B8" s="66" t="str">
        <x:v>CONTENT BLOCK</x:v>
      </x:c>
      <x:c r="C8" s="66" t="str">
        <x:v>H-004</x:v>
      </x:c>
      <x:c r="D8" s="66" t="str">
        <x:v>Home</x:v>
      </x:c>
      <x:c r="E8" s="66" t="str">
        <x:v>CURRENT</x:v>
      </x:c>
      <x:c r="F8" s="66" t="str">
        <x:v>ID + EN</x:v>
      </x:c>
      <x:c r="G8" s="66" t="str">
        <x:v>/{locale}/</x:v>
      </x:c>
      <x:c r="H8" s="66" t="n">
        <x:v>4</x:v>
      </x:c>
      <x:c r="I8" s="65" t="str">
        <x:v>Service card</x:v>
      </x:c>
      <x:c r="J8" s="65" t="str">
        <x:v>Service Cards</x:v>
      </x:c>
      <x:c r="K8" s="65" t="str">
        <x:v>Category card 01</x:v>
      </x:c>
      <x:c r="L8" s="65" t="str">
        <x:v>Pendirian &amp; Legalitas Usaha</x:v>
      </x:c>
      <x:c r="M8" s="65" t="str">
        <x:v>src/components/home/ServiceCarousel.astro</x:v>
      </x:c>
      <x:c r="N8" s="65" t="str">
        <x:v>PARTIAL – CATEGORY COPY NOT 1:1</x:v>
      </x:c>
      <x:c r="O8" s="65" t="str">
        <x:v>N/A – GENERATED SERVICE VISUAL</x:v>
      </x:c>
      <x:c r="P8" s="65" t="str">
        <x:v>REF-CODE-006</x:v>
      </x:c>
      <x:c r="Q8" s="65" t="str">
        <x:v>Map to category-level Pendirian &amp; Legalitas; do not treat detailed prototype items as final services.</x:v>
      </x:c>
      <x:c r="R8" s="65" t="str">
        <x:v>YES – 4-CATEGORY STRUCTURE REQUIRED</x:v>
      </x:c>
      <x:c r="S8" s="65" t="str">
        <x:v>WF-HOME-04 – TO CREATE</x:v>
      </x:c>
      <x:c r="T8" s="65" t="str">
        <x:v>DIPERBARUI</x:v>
      </x:c>
      <x:c r="U8" s="65" t="str">
        <x:v>READY FOR CONTENT APPROVAL</x:v>
      </x:c>
      <x:c r="V8" s="65" t="str">
        <x:v>FINAL – CATEGORY LEVEL</x:v>
      </x:c>
      <x:c r="W8" s="65" t="str">
        <x:v>Bahas Kebutuhan Anda</x:v>
      </x:c>
      <x:c r="X8" s="65" t="str">
        <x:v>Contact</x:v>
      </x:c>
      <x:c r="Y8" s="66" t="str">
        <x:v>NOT REVIEWED</x:v>
      </x:c>
      <x:c r="Z8" s="66" t="str">
        <x:v>NOT APPROVED</x:v>
      </x:c>
      <x:c r="AA8" s="65" t="str">
        <x:v>03_Content_ID::H-004; src/components/home/ServiceCarousel.astro; REF-CODE-006</x:v>
      </x:c>
      <x:c r="AB8" s="66" t="str">
        <x:f>IF(COUNTIF($A$5:$A$50,A8)&lt;&gt;1,"FAIL – DUPLICATE MAPPING ID",IF(COUNTIF($C$5:$C$50,C8)&lt;&gt;1,"FAIL – DUPLICATE CONTENT ID",IF(COUNTA(A8:AA8)&lt;27,"INCOMPLETE","PASS – STRUCTURE")))</x:f>
        <x:v>PASS – STRUCTURE</x:v>
      </x:c>
      <x:c r="AC8" s="66" t="str">
        <x:f>IF(B8="WEBSITE-ONLY","OPEN – DOCUMENT DECISION REQUIRED",IF(LEFT(U8,5)&lt;&gt;"READY","BLOCKED – COPY/DEPENDENCY",IF(OR(LEFT(N8,7)="PARTIAL",LEFT(N8,15)="NOT IMPLEMENTED"),"DRAFT MAPPING – GAP OPEN","DRAFT MAPPING – READY FOR UI/UX REVIEW")))</x:f>
        <x:v>DRAFT MAPPING – GAP OPEN</x:v>
      </x:c>
      <x:c r="AD8" s="65" t="str"/>
      <x:c r="AE8" s="65" t="str"/>
    </x:row>
    <x:row r="9" ht="58.5" customHeight="1">
      <x:c r="A9" s="66" t="str">
        <x:v>MAP-005</x:v>
      </x:c>
      <x:c r="B9" s="66" t="str">
        <x:v>CONTENT BLOCK</x:v>
      </x:c>
      <x:c r="C9" s="66" t="str">
        <x:v>H-005</x:v>
      </x:c>
      <x:c r="D9" s="66" t="str">
        <x:v>Home</x:v>
      </x:c>
      <x:c r="E9" s="66" t="str">
        <x:v>CURRENT</x:v>
      </x:c>
      <x:c r="F9" s="66" t="str">
        <x:v>ID + EN</x:v>
      </x:c>
      <x:c r="G9" s="66" t="str">
        <x:v>/{locale}/</x:v>
      </x:c>
      <x:c r="H9" s="66" t="n">
        <x:v>5</x:v>
      </x:c>
      <x:c r="I9" s="65" t="str">
        <x:v>Service card</x:v>
      </x:c>
      <x:c r="J9" s="65" t="str">
        <x:v>Service Cards</x:v>
      </x:c>
      <x:c r="K9" s="65" t="str">
        <x:v>Category card 02</x:v>
      </x:c>
      <x:c r="L9" s="65" t="str">
        <x:v>Perizinan Berbasis Risiko</x:v>
      </x:c>
      <x:c r="M9" s="65" t="str">
        <x:v>src/components/home/ServiceCarousel.astro</x:v>
      </x:c>
      <x:c r="N9" s="65" t="str">
        <x:v>PARTIAL – CATEGORY COPY NOT 1:1</x:v>
      </x:c>
      <x:c r="O9" s="65" t="str">
        <x:v>N/A – GENERATED SERVICE VISUAL</x:v>
      </x:c>
      <x:c r="P9" s="65" t="str">
        <x:v>REF-CODE-006</x:v>
      </x:c>
      <x:c r="Q9" s="65" t="str">
        <x:v>Map to category-level Perizinan Berbasis Risiko; sector coverage remains unapproved.</x:v>
      </x:c>
      <x:c r="R9" s="65" t="str">
        <x:v>YES – 4-CATEGORY STRUCTURE REQUIRED</x:v>
      </x:c>
      <x:c r="S9" s="65" t="str">
        <x:v>WF-HOME-05 – TO CREATE</x:v>
      </x:c>
      <x:c r="T9" s="65" t="str">
        <x:v>DIPERBARUI</x:v>
      </x:c>
      <x:c r="U9" s="65" t="str">
        <x:v>READY FOR CONTENT APPROVAL</x:v>
      </x:c>
      <x:c r="V9" s="65" t="str">
        <x:v>FINAL – CATEGORY LEVEL</x:v>
      </x:c>
      <x:c r="W9" s="65" t="str">
        <x:v>Bahas Kebutuhan Anda</x:v>
      </x:c>
      <x:c r="X9" s="65" t="str">
        <x:v>Contact</x:v>
      </x:c>
      <x:c r="Y9" s="66" t="str">
        <x:v>NOT REVIEWED</x:v>
      </x:c>
      <x:c r="Z9" s="66" t="str">
        <x:v>NOT APPROVED</x:v>
      </x:c>
      <x:c r="AA9" s="65" t="str">
        <x:v>03_Content_ID::H-005; src/components/home/ServiceCarousel.astro; REF-CODE-006</x:v>
      </x:c>
      <x:c r="AB9" s="66" t="str">
        <x:f>IF(COUNTIF($A$5:$A$50,A9)&lt;&gt;1,"FAIL – DUPLICATE MAPPING ID",IF(COUNTIF($C$5:$C$50,C9)&lt;&gt;1,"FAIL – DUPLICATE CONTENT ID",IF(COUNTA(A9:AA9)&lt;27,"INCOMPLETE","PASS – STRUCTURE")))</x:f>
        <x:v>PASS – STRUCTURE</x:v>
      </x:c>
      <x:c r="AC9" s="66" t="str">
        <x:f>IF(B9="WEBSITE-ONLY","OPEN – DOCUMENT DECISION REQUIRED",IF(LEFT(U9,5)&lt;&gt;"READY","BLOCKED – COPY/DEPENDENCY",IF(OR(LEFT(N9,7)="PARTIAL",LEFT(N9,15)="NOT IMPLEMENTED"),"DRAFT MAPPING – GAP OPEN","DRAFT MAPPING – READY FOR UI/UX REVIEW")))</x:f>
        <x:v>DRAFT MAPPING – GAP OPEN</x:v>
      </x:c>
      <x:c r="AD9" s="65" t="str"/>
      <x:c r="AE9" s="65" t="str"/>
    </x:row>
    <x:row r="10" ht="58.5" customHeight="1">
      <x:c r="A10" s="66" t="str">
        <x:v>MAP-006</x:v>
      </x:c>
      <x:c r="B10" s="66" t="str">
        <x:v>CONTENT BLOCK</x:v>
      </x:c>
      <x:c r="C10" s="66" t="str">
        <x:v>H-006</x:v>
      </x:c>
      <x:c r="D10" s="66" t="str">
        <x:v>Home</x:v>
      </x:c>
      <x:c r="E10" s="66" t="str">
        <x:v>CURRENT</x:v>
      </x:c>
      <x:c r="F10" s="66" t="str">
        <x:v>ID + EN</x:v>
      </x:c>
      <x:c r="G10" s="66" t="str">
        <x:v>/{locale}/</x:v>
      </x:c>
      <x:c r="H10" s="66" t="n">
        <x:v>6</x:v>
      </x:c>
      <x:c r="I10" s="65" t="str">
        <x:v>Service card</x:v>
      </x:c>
      <x:c r="J10" s="65" t="str">
        <x:v>Service Cards</x:v>
      </x:c>
      <x:c r="K10" s="65" t="str">
        <x:v>Category card 03</x:v>
      </x:c>
      <x:c r="L10" s="65" t="str">
        <x:v>Kepatuhan &amp; Legal Advisory</x:v>
      </x:c>
      <x:c r="M10" s="65" t="str">
        <x:v>src/components/home/ServiceCarousel.astro</x:v>
      </x:c>
      <x:c r="N10" s="65" t="str">
        <x:v>PARTIAL – CATEGORY COPY NOT 1:1</x:v>
      </x:c>
      <x:c r="O10" s="65" t="str">
        <x:v>N/A – GENERATED SERVICE VISUAL</x:v>
      </x:c>
      <x:c r="P10" s="65" t="str">
        <x:v>REF-CODE-006</x:v>
      </x:c>
      <x:c r="Q10" s="65" t="str">
        <x:v>Map to category-level Kepatuhan &amp; Legal Advisory; retainer/SOP/reviewer remain pending.</x:v>
      </x:c>
      <x:c r="R10" s="65" t="str">
        <x:v>YES – 4-CATEGORY STRUCTURE REQUIRED</x:v>
      </x:c>
      <x:c r="S10" s="65" t="str">
        <x:v>WF-HOME-06 – TO CREATE</x:v>
      </x:c>
      <x:c r="T10" s="65" t="str">
        <x:v>DIPERBARUI</x:v>
      </x:c>
      <x:c r="U10" s="65" t="str">
        <x:v>READY FOR CONTENT APPROVAL</x:v>
      </x:c>
      <x:c r="V10" s="65" t="str">
        <x:v>FINAL – CATEGORY LEVEL</x:v>
      </x:c>
      <x:c r="W10" s="65" t="str">
        <x:v>Bahas Kebutuhan Anda</x:v>
      </x:c>
      <x:c r="X10" s="65" t="str">
        <x:v>Contact</x:v>
      </x:c>
      <x:c r="Y10" s="66" t="str">
        <x:v>NOT REVIEWED</x:v>
      </x:c>
      <x:c r="Z10" s="66" t="str">
        <x:v>NOT APPROVED</x:v>
      </x:c>
      <x:c r="AA10" s="65" t="str">
        <x:v>03_Content_ID::H-006; src/components/home/ServiceCarousel.astro; REF-CODE-006</x:v>
      </x:c>
      <x:c r="AB10" s="66" t="str">
        <x:f>IF(COUNTIF($A$5:$A$50,A10)&lt;&gt;1,"FAIL – DUPLICATE MAPPING ID",IF(COUNTIF($C$5:$C$50,C10)&lt;&gt;1,"FAIL – DUPLICATE CONTENT ID",IF(COUNTA(A10:AA10)&lt;27,"INCOMPLETE","PASS – STRUCTURE")))</x:f>
        <x:v>PASS – STRUCTURE</x:v>
      </x:c>
      <x:c r="AC10" s="66" t="str">
        <x:f>IF(B10="WEBSITE-ONLY","OPEN – DOCUMENT DECISION REQUIRED",IF(LEFT(U10,5)&lt;&gt;"READY","BLOCKED – COPY/DEPENDENCY",IF(OR(LEFT(N10,7)="PARTIAL",LEFT(N10,15)="NOT IMPLEMENTED"),"DRAFT MAPPING – GAP OPEN","DRAFT MAPPING – READY FOR UI/UX REVIEW")))</x:f>
        <x:v>DRAFT MAPPING – GAP OPEN</x:v>
      </x:c>
      <x:c r="AD10" s="65" t="str"/>
      <x:c r="AE10" s="65" t="str"/>
    </x:row>
    <x:row r="11" ht="58.5" customHeight="1">
      <x:c r="A11" s="66" t="str">
        <x:v>MAP-007</x:v>
      </x:c>
      <x:c r="B11" s="66" t="str">
        <x:v>CONTENT BLOCK</x:v>
      </x:c>
      <x:c r="C11" s="66" t="str">
        <x:v>H-007</x:v>
      </x:c>
      <x:c r="D11" s="66" t="str">
        <x:v>Home</x:v>
      </x:c>
      <x:c r="E11" s="66" t="str">
        <x:v>CURRENT</x:v>
      </x:c>
      <x:c r="F11" s="66" t="str">
        <x:v>ID + EN</x:v>
      </x:c>
      <x:c r="G11" s="66" t="str">
        <x:v>/{locale}/</x:v>
      </x:c>
      <x:c r="H11" s="66" t="n">
        <x:v>7</x:v>
      </x:c>
      <x:c r="I11" s="65" t="str">
        <x:v>Service card</x:v>
      </x:c>
      <x:c r="J11" s="65" t="str">
        <x:v>Service Cards</x:v>
      </x:c>
      <x:c r="K11" s="65" t="str">
        <x:v>Category card 04</x:v>
      </x:c>
      <x:c r="L11" s="65" t="str">
        <x:v>Perizinan Proyek &amp; Investasi</x:v>
      </x:c>
      <x:c r="M11" s="65" t="str">
        <x:v>src/components/home/ServiceCarousel.astro</x:v>
      </x:c>
      <x:c r="N11" s="65" t="str">
        <x:v>PARTIAL – CATEGORY COPY NOT 1:1</x:v>
      </x:c>
      <x:c r="O11" s="65" t="str">
        <x:v>N/A – GENERATED SERVICE VISUAL</x:v>
      </x:c>
      <x:c r="P11" s="65" t="str">
        <x:v>REF-CODE-006</x:v>
      </x:c>
      <x:c r="Q11" s="65" t="str">
        <x:v>Map to category-level Perizinan Proyek &amp; Investasi; examples remain pending.</x:v>
      </x:c>
      <x:c r="R11" s="65" t="str">
        <x:v>YES – 4-CATEGORY STRUCTURE REQUIRED</x:v>
      </x:c>
      <x:c r="S11" s="65" t="str">
        <x:v>WF-HOME-07 – TO CREATE</x:v>
      </x:c>
      <x:c r="T11" s="65" t="str">
        <x:v>DIPERBARUI</x:v>
      </x:c>
      <x:c r="U11" s="65" t="str">
        <x:v>READY FOR CONTENT APPROVAL</x:v>
      </x:c>
      <x:c r="V11" s="65" t="str">
        <x:v>FINAL – CATEGORY LEVEL</x:v>
      </x:c>
      <x:c r="W11" s="65" t="str">
        <x:v>Bahas Kebutuhan Anda</x:v>
      </x:c>
      <x:c r="X11" s="65" t="str">
        <x:v>Contact</x:v>
      </x:c>
      <x:c r="Y11" s="66" t="str">
        <x:v>NOT REVIEWED</x:v>
      </x:c>
      <x:c r="Z11" s="66" t="str">
        <x:v>NOT APPROVED</x:v>
      </x:c>
      <x:c r="AA11" s="65" t="str">
        <x:v>03_Content_ID::H-007; src/components/home/ServiceCarousel.astro; REF-CODE-006</x:v>
      </x:c>
      <x:c r="AB11" s="66" t="str">
        <x:f>IF(COUNTIF($A$5:$A$50,A11)&lt;&gt;1,"FAIL – DUPLICATE MAPPING ID",IF(COUNTIF($C$5:$C$50,C11)&lt;&gt;1,"FAIL – DUPLICATE CONTENT ID",IF(COUNTA(A11:AA11)&lt;27,"INCOMPLETE","PASS – STRUCTURE")))</x:f>
        <x:v>PASS – STRUCTURE</x:v>
      </x:c>
      <x:c r="AC11" s="66" t="str">
        <x:f>IF(B11="WEBSITE-ONLY","OPEN – DOCUMENT DECISION REQUIRED",IF(LEFT(U11,5)&lt;&gt;"READY","BLOCKED – COPY/DEPENDENCY",IF(OR(LEFT(N11,7)="PARTIAL",LEFT(N11,15)="NOT IMPLEMENTED"),"DRAFT MAPPING – GAP OPEN","DRAFT MAPPING – READY FOR UI/UX REVIEW")))</x:f>
        <x:v>DRAFT MAPPING – GAP OPEN</x:v>
      </x:c>
      <x:c r="AD11" s="65" t="str"/>
      <x:c r="AE11" s="65" t="str"/>
    </x:row>
    <x:row r="12" ht="58.5" customHeight="1">
      <x:c r="A12" s="66" t="str">
        <x:v>MAP-008</x:v>
      </x:c>
      <x:c r="B12" s="66" t="str">
        <x:v>CONTENT BLOCK</x:v>
      </x:c>
      <x:c r="C12" s="66" t="str">
        <x:v>H-008</x:v>
      </x:c>
      <x:c r="D12" s="66" t="str">
        <x:v>Home</x:v>
      </x:c>
      <x:c r="E12" s="66" t="str">
        <x:v>CURRENT</x:v>
      </x:c>
      <x:c r="F12" s="66" t="str">
        <x:v>ID + EN</x:v>
      </x:c>
      <x:c r="G12" s="66" t="str">
        <x:v>/{locale}/</x:v>
      </x:c>
      <x:c r="H12" s="66" t="n">
        <x:v>8</x:v>
      </x:c>
      <x:c r="I12" s="65" t="str">
        <x:v>Process</x:v>
      </x:c>
      <x:c r="J12" s="65" t="str">
        <x:v>Process</x:v>
      </x:c>
      <x:c r="K12" s="65" t="str">
        <x:v>Four-step process</x:v>
      </x:c>
      <x:c r="L12" s="65" t="str">
        <x:v>Dari kebutuhan bisnis ke langkah yang dapat ditindaklanjuti.</x:v>
      </x:c>
      <x:c r="M12" s="65" t="str">
        <x:v>src/components/home/PermitProcess.astro</x:v>
      </x:c>
      <x:c r="N12" s="65" t="str">
        <x:v>IMPLEMENTED – STRUCTURE EXISTS</x:v>
      </x:c>
      <x:c r="O12" s="65" t="str">
        <x:v>N/A – NO MEDIA REQUIRED</x:v>
      </x:c>
      <x:c r="P12" s="65" t="str">
        <x:v>REF-CODE-007</x:v>
      </x:c>
      <x:c r="Q12" s="65" t="str">
        <x:v>The current component and CTA to Contact provide a valid structural reference.</x:v>
      </x:c>
      <x:c r="R12" s="65" t="str">
        <x:v>NO – EXISTING IMPLEMENTATION REFERENCE</x:v>
      </x:c>
      <x:c r="S12" s="65" t="str">
        <x:v>EXISTING UI – PERMIT PROCESS</x:v>
      </x:c>
      <x:c r="T12" s="65" t="str">
        <x:v>DIPERBARUI</x:v>
      </x:c>
      <x:c r="U12" s="65" t="str">
        <x:v>READY FOR CONTENT APPROVAL</x:v>
      </x:c>
      <x:c r="V12" s="65" t="str">
        <x:v>FINAL</x:v>
      </x:c>
      <x:c r="W12" s="65" t="str">
        <x:v>Mulai Review Awal</x:v>
      </x:c>
      <x:c r="X12" s="65" t="str">
        <x:v>Contact</x:v>
      </x:c>
      <x:c r="Y12" s="66" t="str">
        <x:v>NOT REVIEWED</x:v>
      </x:c>
      <x:c r="Z12" s="66" t="str">
        <x:v>NOT APPROVED</x:v>
      </x:c>
      <x:c r="AA12" s="65" t="str">
        <x:v>03_Content_ID::H-008; src/components/home/PermitProcess.astro; REF-CODE-007</x:v>
      </x:c>
      <x:c r="AB12" s="66" t="str">
        <x:f>IF(COUNTIF($A$5:$A$50,A12)&lt;&gt;1,"FAIL – DUPLICATE MAPPING ID",IF(COUNTIF($C$5:$C$50,C12)&lt;&gt;1,"FAIL – DUPLICATE CONTENT ID",IF(COUNTA(A12:AA12)&lt;27,"INCOMPLETE","PASS – STRUCTURE")))</x:f>
        <x:v>PASS – STRUCTURE</x:v>
      </x:c>
      <x:c r="AC12" s="66" t="str">
        <x:f>IF(B12="WEBSITE-ONLY","OPEN – DOCUMENT DECISION REQUIRED",IF(LEFT(U12,5)&lt;&gt;"READY","BLOCKED – COPY/DEPENDENCY",IF(OR(LEFT(N12,7)="PARTIAL",LEFT(N12,15)="NOT IMPLEMENTED"),"DRAFT MAPPING – GAP OPEN","DRAFT MAPPING – READY FOR UI/UX REVIEW")))</x:f>
        <x:v>DRAFT MAPPING – READY FOR UI/UX REVIEW</x:v>
      </x:c>
      <x:c r="AD12" s="65" t="str"/>
      <x:c r="AE12" s="65" t="str"/>
    </x:row>
    <x:row r="13" ht="58.5" customHeight="1">
      <x:c r="A13" s="66" t="str">
        <x:v>MAP-009</x:v>
      </x:c>
      <x:c r="B13" s="66" t="str">
        <x:v>CONTENT BLOCK</x:v>
      </x:c>
      <x:c r="C13" s="66" t="str">
        <x:v>H-009</x:v>
      </x:c>
      <x:c r="D13" s="66" t="str">
        <x:v>Home</x:v>
      </x:c>
      <x:c r="E13" s="66" t="str">
        <x:v>CURRENT</x:v>
      </x:c>
      <x:c r="F13" s="66" t="str">
        <x:v>ID + EN</x:v>
      </x:c>
      <x:c r="G13" s="66" t="str">
        <x:v>/{locale}/</x:v>
      </x:c>
      <x:c r="H13" s="66" t="n">
        <x:v>9</x:v>
      </x:c>
      <x:c r="I13" s="65" t="str">
        <x:v>Credibility</x:v>
      </x:c>
      <x:c r="J13" s="65" t="str">
        <x:v>Credibility</x:v>
      </x:c>
      <x:c r="K13" s="65" t="str">
        <x:v>Company positioning / proof discipline</x:v>
      </x:c>
      <x:c r="L13" s="65" t="str">
        <x:v>Identitas yang jelas. Klaim yang dapat diperiksa.</x:v>
      </x:c>
      <x:c r="M13" s="65" t="str">
        <x:v>src/components/home/CompanySnapshot.astro</x:v>
      </x:c>
      <x:c r="N13" s="65" t="str">
        <x:v>PARTIAL – GALLERY/STATS INCLUDE UNVERIFIED DATA</x:v>
      </x:c>
      <x:c r="O13" s="65" t="str">
        <x:v>AST-006–AST-010</x:v>
      </x:c>
      <x:c r="P13" s="65" t="str">
        <x:v>REF-CODE-005</x:v>
      </x:c>
      <x:c r="Q13" s="65" t="str">
        <x:v>Use confirmed legal identity from the aligned workbook; do not expose the four [DATA] statistics as company facts.</x:v>
      </x:c>
      <x:c r="R13" s="65" t="str">
        <x:v>YES – PROOF-SAFE STATE REQUIRED</x:v>
      </x:c>
      <x:c r="S13" s="65" t="str">
        <x:v>WF-HOME-09 – ADAPT EXISTING</x:v>
      </x:c>
      <x:c r="T13" s="65" t="str">
        <x:v>DIPERBARUI</x:v>
      </x:c>
      <x:c r="U13" s="65" t="str">
        <x:v>READY FOR CONTENT APPROVAL</x:v>
      </x:c>
      <x:c r="V13" s="65" t="str">
        <x:v>FINAL – FAKTA TERKONFIRMASI</x:v>
      </x:c>
      <x:c r="W13" s="65" t="str">
        <x:v>Pelajari Profil</x:v>
      </x:c>
      <x:c r="X13" s="65" t="str">
        <x:v>Profile</x:v>
      </x:c>
      <x:c r="Y13" s="66" t="str">
        <x:v>NOT REVIEWED</x:v>
      </x:c>
      <x:c r="Z13" s="66" t="str">
        <x:v>NOT APPROVED</x:v>
      </x:c>
      <x:c r="AA13" s="65" t="str">
        <x:v>03_Content_ID::H-009; src/components/home/CompanySnapshot.astro; REF-CODE-005</x:v>
      </x:c>
      <x:c r="AB13" s="66" t="str">
        <x:f>IF(COUNTIF($A$5:$A$50,A13)&lt;&gt;1,"FAIL – DUPLICATE MAPPING ID",IF(COUNTIF($C$5:$C$50,C13)&lt;&gt;1,"FAIL – DUPLICATE CONTENT ID",IF(COUNTA(A13:AA13)&lt;27,"INCOMPLETE","PASS – STRUCTURE")))</x:f>
        <x:v>PASS – STRUCTURE</x:v>
      </x:c>
      <x:c r="AC13" s="66" t="str">
        <x:f>IF(B13="WEBSITE-ONLY","OPEN – DOCUMENT DECISION REQUIRED",IF(LEFT(U13,5)&lt;&gt;"READY","BLOCKED – COPY/DEPENDENCY",IF(OR(LEFT(N13,7)="PARTIAL",LEFT(N13,15)="NOT IMPLEMENTED"),"DRAFT MAPPING – GAP OPEN","DRAFT MAPPING – READY FOR UI/UX REVIEW")))</x:f>
        <x:v>DRAFT MAPPING – GAP OPEN</x:v>
      </x:c>
      <x:c r="AD13" s="65" t="str"/>
      <x:c r="AE13" s="65" t="str"/>
    </x:row>
    <x:row r="14" ht="58.5" customHeight="1">
      <x:c r="A14" s="66" t="str">
        <x:v>MAP-010</x:v>
      </x:c>
      <x:c r="B14" s="66" t="str">
        <x:v>CONTENT BLOCK</x:v>
      </x:c>
      <x:c r="C14" s="66" t="str">
        <x:v>H-010</x:v>
      </x:c>
      <x:c r="D14" s="66" t="str">
        <x:v>Home</x:v>
      </x:c>
      <x:c r="E14" s="66" t="str">
        <x:v>CURRENT PROTOTYPE SECTION</x:v>
      </x:c>
      <x:c r="F14" s="66" t="str">
        <x:v>ID + EN</x:v>
      </x:c>
      <x:c r="G14" s="66" t="str">
        <x:v>/{locale}/</x:v>
      </x:c>
      <x:c r="H14" s="66" t="n">
        <x:v>10</x:v>
      </x:c>
      <x:c r="I14" s="65" t="str">
        <x:v>Experience preview</x:v>
      </x:c>
      <x:c r="J14" s="65" t="str">
        <x:v>Experience Preview</x:v>
      </x:c>
      <x:c r="K14" s="65" t="str">
        <x:v>Featured + two supporting case cards</x:v>
      </x:c>
      <x:c r="L14" s="65" t="str">
        <x:v>Pengalaman yang dijelaskan dengan konteks, bukan angka tanpa bukti.</x:v>
      </x:c>
      <x:c r="M14" s="65" t="str">
        <x:v>src/components/home/ExperienceShowcase.astro</x:v>
      </x:c>
      <x:c r="N14" s="65" t="str">
        <x:v>PROTOTYPE – DUMMY EVIDENCE</x:v>
      </x:c>
      <x:c r="O14" s="65" t="str">
        <x:v>AST-011–AST-013</x:v>
      </x:c>
      <x:c r="P14" s="65" t="str">
        <x:v>REF-CODE-009</x:v>
      </x:c>
      <x:c r="Q14" s="65" t="str">
        <x:v>High-fidelity prototype only. Remove at launch if approved evidence and consent are unavailable.</x:v>
      </x:c>
      <x:c r="R14" s="65" t="str">
        <x:v>NO – EXISTING PROTOTYPE REFERENCE</x:v>
      </x:c>
      <x:c r="S14" s="65" t="str">
        <x:v>EXISTING UI – EXPERIENCE SHOWCASE</x:v>
      </x:c>
      <x:c r="T14" s="65" t="str">
        <x:v>DATA DUMMY</x:v>
      </x:c>
      <x:c r="U14" s="65" t="str">
        <x:v>BLOCKED – EVIDENCE REQUIRED</x:v>
      </x:c>
      <x:c r="V14" s="65" t="str">
        <x:v>PLACEHOLDER – STAGING ONLY</x:v>
      </x:c>
      <x:c r="W14" s="65" t="str">
        <x:v>Lihat Pengalaman</x:v>
      </x:c>
      <x:c r="X14" s="65" t="str">
        <x:v>Our Experiences</x:v>
      </x:c>
      <x:c r="Y14" s="66" t="str">
        <x:v>NOT REVIEWED</x:v>
      </x:c>
      <x:c r="Z14" s="66" t="str">
        <x:v>NOT APPROVED</x:v>
      </x:c>
      <x:c r="AA14" s="65" t="str">
        <x:v>03_Content_ID::H-010; src/components/home/ExperienceShowcase.astro; REF-CODE-009</x:v>
      </x:c>
      <x:c r="AB14" s="66" t="str">
        <x:f>IF(COUNTIF($A$5:$A$50,A14)&lt;&gt;1,"FAIL – DUPLICATE MAPPING ID",IF(COUNTIF($C$5:$C$50,C14)&lt;&gt;1,"FAIL – DUPLICATE CONTENT ID",IF(COUNTA(A14:AA14)&lt;27,"INCOMPLETE","PASS – STRUCTURE")))</x:f>
        <x:v>PASS – STRUCTURE</x:v>
      </x:c>
      <x:c r="AC14" s="66" t="str">
        <x:f>IF(B14="WEBSITE-ONLY","OPEN – DOCUMENT DECISION REQUIRED",IF(LEFT(U14,5)&lt;&gt;"READY","BLOCKED – COPY/DEPENDENCY",IF(OR(LEFT(N14,7)="PARTIAL",LEFT(N14,15)="NOT IMPLEMENTED"),"DRAFT MAPPING – GAP OPEN","DRAFT MAPPING – READY FOR UI/UX REVIEW")))</x:f>
        <x:v>BLOCKED – COPY/DEPENDENCY</x:v>
      </x:c>
      <x:c r="AD14" s="65" t="str"/>
      <x:c r="AE14" s="65" t="str"/>
    </x:row>
    <x:row r="15" ht="58.5" customHeight="1">
      <x:c r="A15" s="66" t="str">
        <x:v>MAP-011</x:v>
      </x:c>
      <x:c r="B15" s="66" t="str">
        <x:v>CONTENT BLOCK</x:v>
      </x:c>
      <x:c r="C15" s="66" t="str">
        <x:v>H-011</x:v>
      </x:c>
      <x:c r="D15" s="66" t="str">
        <x:v>Home</x:v>
      </x:c>
      <x:c r="E15" s="66" t="str">
        <x:v>CURRENT PREVIEW SECTION</x:v>
      </x:c>
      <x:c r="F15" s="66" t="str">
        <x:v>ID + EN</x:v>
      </x:c>
      <x:c r="G15" s="66" t="str">
        <x:v>/{locale}/</x:v>
      </x:c>
      <x:c r="H15" s="66" t="n">
        <x:v>11</x:v>
      </x:c>
      <x:c r="I15" s="65" t="str">
        <x:v>Insight preview</x:v>
      </x:c>
      <x:c r="J15" s="65" t="str">
        <x:v>Insight Preview</x:v>
      </x:c>
      <x:c r="K15" s="65" t="str">
        <x:v>Latest three article cards</x:v>
      </x:c>
      <x:c r="L15" s="65" t="str">
        <x:v>Insight untuk memahami konteks sebelum mengambil langkah.</x:v>
      </x:c>
      <x:c r="M15" s="65" t="str">
        <x:v>src/components/home/HomeInsights.astro</x:v>
      </x:c>
      <x:c r="N15" s="65" t="str">
        <x:v>PREVIEW – ARTICLES PRESENT BUT NOT LAUNCH-READY</x:v>
      </x:c>
      <x:c r="O15" s="65" t="str">
        <x:v>AST-005</x:v>
      </x:c>
      <x:c r="P15" s="65" t="str">
        <x:v>REF-CODE-010</x:v>
      </x:c>
      <x:c r="Q15" s="65" t="str">
        <x:v>Preview-only per project decision; article legal/editorial review remains a launch condition.</x:v>
      </x:c>
      <x:c r="R15" s="65" t="str">
        <x:v>NO – EXISTING PREVIEW REFERENCE</x:v>
      </x:c>
      <x:c r="S15" s="65" t="str">
        <x:v>EXISTING UI – HOME INSIGHTS</x:v>
      </x:c>
      <x:c r="T15" s="65" t="str">
        <x:v>PLACEHOLDER INTERNAL</x:v>
      </x:c>
      <x:c r="U15" s="65" t="str">
        <x:v>READY FOR CONTENT APPROVAL</x:v>
      </x:c>
      <x:c r="V15" s="65" t="str">
        <x:v>FINAL FRAMEWORK / ARTICLES PREVIEW ONLY</x:v>
      </x:c>
      <x:c r="W15" s="65" t="str">
        <x:v>Lihat Insight</x:v>
      </x:c>
      <x:c r="X15" s="65" t="str">
        <x:v>Blog</x:v>
      </x:c>
      <x:c r="Y15" s="66" t="str">
        <x:v>NOT REVIEWED</x:v>
      </x:c>
      <x:c r="Z15" s="66" t="str">
        <x:v>NOT APPROVED</x:v>
      </x:c>
      <x:c r="AA15" s="65" t="str">
        <x:v>03_Content_ID::H-011; src/components/home/HomeInsights.astro; REF-CODE-010</x:v>
      </x:c>
      <x:c r="AB15" s="66" t="str">
        <x:f>IF(COUNTIF($A$5:$A$50,A15)&lt;&gt;1,"FAIL – DUPLICATE MAPPING ID",IF(COUNTIF($C$5:$C$50,C15)&lt;&gt;1,"FAIL – DUPLICATE CONTENT ID",IF(COUNTA(A15:AA15)&lt;27,"INCOMPLETE","PASS – STRUCTURE")))</x:f>
        <x:v>PASS – STRUCTURE</x:v>
      </x:c>
      <x:c r="AC15" s="66" t="str">
        <x:f>IF(B15="WEBSITE-ONLY","OPEN – DOCUMENT DECISION REQUIRED",IF(LEFT(U15,5)&lt;&gt;"READY","BLOCKED – COPY/DEPENDENCY",IF(OR(LEFT(N15,7)="PARTIAL",LEFT(N15,15)="NOT IMPLEMENTED"),"DRAFT MAPPING – GAP OPEN","DRAFT MAPPING – READY FOR UI/UX REVIEW")))</x:f>
        <x:v>DRAFT MAPPING – READY FOR UI/UX REVIEW</x:v>
      </x:c>
      <x:c r="AD15" s="65" t="str"/>
      <x:c r="AE15" s="65" t="str"/>
    </x:row>
    <x:row r="16" ht="58.5" customHeight="1">
      <x:c r="A16" s="66" t="str">
        <x:v>MAP-012</x:v>
      </x:c>
      <x:c r="B16" s="66" t="str">
        <x:v>CONTENT BLOCK</x:v>
      </x:c>
      <x:c r="C16" s="66" t="str">
        <x:v>H-012</x:v>
      </x:c>
      <x:c r="D16" s="66" t="str">
        <x:v>Home</x:v>
      </x:c>
      <x:c r="E16" s="66" t="str">
        <x:v>CURRENT</x:v>
      </x:c>
      <x:c r="F16" s="66" t="str">
        <x:v>ID + EN</x:v>
      </x:c>
      <x:c r="G16" s="66" t="str">
        <x:v>/{locale}/</x:v>
      </x:c>
      <x:c r="H16" s="66" t="n">
        <x:v>12</x:v>
      </x:c>
      <x:c r="I16" s="65" t="str">
        <x:v>Final CTA</x:v>
      </x:c>
      <x:c r="J16" s="65" t="str">
        <x:v>Final CTA</x:v>
      </x:c>
      <x:c r="K16" s="65" t="str">
        <x:v>Split CTA / consultation + WhatsApp</x:v>
      </x:c>
      <x:c r="L16" s="65" t="str">
        <x:v>Mulai dari konteks bisnis Anda.</x:v>
      </x:c>
      <x:c r="M16" s="65" t="str">
        <x:v>src/components/home/HomeFinalCta.astro</x:v>
      </x:c>
      <x:c r="N16" s="65" t="str">
        <x:v>IMPLEMENTED – STRUCTURE EXISTS</x:v>
      </x:c>
      <x:c r="O16" s="65" t="str">
        <x:v>N/A – NO MEDIA REQUIRED</x:v>
      </x:c>
      <x:c r="P16" s="65" t="str">
        <x:v>REF-CODE-011</x:v>
      </x:c>
      <x:c r="Q16" s="65" t="str">
        <x:v>Destinations exist; labels remain subject to content approval.</x:v>
      </x:c>
      <x:c r="R16" s="65" t="str">
        <x:v>NO – EXISTING IMPLEMENTATION REFERENCE</x:v>
      </x:c>
      <x:c r="S16" s="65" t="str">
        <x:v>EXISTING UI – FINAL CTA</x:v>
      </x:c>
      <x:c r="T16" s="65" t="str">
        <x:v>DIPERBARUI</x:v>
      </x:c>
      <x:c r="U16" s="65" t="str">
        <x:v>READY FOR CONTENT APPROVAL</x:v>
      </x:c>
      <x:c r="V16" s="65" t="str">
        <x:v>FINAL</x:v>
      </x:c>
      <x:c r="W16" s="65" t="str">
        <x:v>Ajukan Konsultasi</x:v>
      </x:c>
      <x:c r="X16" s="65" t="str">
        <x:v>Contact</x:v>
      </x:c>
      <x:c r="Y16" s="66" t="str">
        <x:v>NOT REVIEWED</x:v>
      </x:c>
      <x:c r="Z16" s="66" t="str">
        <x:v>NOT APPROVED</x:v>
      </x:c>
      <x:c r="AA16" s="65" t="str">
        <x:v>03_Content_ID::H-012; src/components/home/HomeFinalCta.astro; REF-CODE-011</x:v>
      </x:c>
      <x:c r="AB16" s="66" t="str">
        <x:f>IF(COUNTIF($A$5:$A$50,A16)&lt;&gt;1,"FAIL – DUPLICATE MAPPING ID",IF(COUNTIF($C$5:$C$50,C16)&lt;&gt;1,"FAIL – DUPLICATE CONTENT ID",IF(COUNTA(A16:AA16)&lt;27,"INCOMPLETE","PASS – STRUCTURE")))</x:f>
        <x:v>PASS – STRUCTURE</x:v>
      </x:c>
      <x:c r="AC16" s="66" t="str">
        <x:f>IF(B16="WEBSITE-ONLY","OPEN – DOCUMENT DECISION REQUIRED",IF(LEFT(U16,5)&lt;&gt;"READY","BLOCKED – COPY/DEPENDENCY",IF(OR(LEFT(N16,7)="PARTIAL",LEFT(N16,15)="NOT IMPLEMENTED"),"DRAFT MAPPING – GAP OPEN","DRAFT MAPPING – READY FOR UI/UX REVIEW")))</x:f>
        <x:v>DRAFT MAPPING – READY FOR UI/UX REVIEW</x:v>
      </x:c>
      <x:c r="AD16" s="65" t="str"/>
      <x:c r="AE16" s="65" t="str"/>
    </x:row>
    <x:row r="17" ht="58.5" customHeight="1">
      <x:c r="A17" s="66" t="str">
        <x:v>MAP-013</x:v>
      </x:c>
      <x:c r="B17" s="66" t="str">
        <x:v>CONTENT BLOCK</x:v>
      </x:c>
      <x:c r="C17" s="66" t="str">
        <x:v>P-001</x:v>
      </x:c>
      <x:c r="D17" s="66" t="str">
        <x:v>Profile</x:v>
      </x:c>
      <x:c r="E17" s="66" t="str">
        <x:v>CURRENT</x:v>
      </x:c>
      <x:c r="F17" s="66" t="str">
        <x:v>ID + EN</x:v>
      </x:c>
      <x:c r="G17" s="66" t="str">
        <x:v>/{locale}/profile/</x:v>
      </x:c>
      <x:c r="H17" s="66" t="n">
        <x:v>1</x:v>
      </x:c>
      <x:c r="I17" s="65" t="str">
        <x:v>Hero</x:v>
      </x:c>
      <x:c r="J17" s="65" t="str">
        <x:v>Hero</x:v>
      </x:c>
      <x:c r="K17" s="65" t="str">
        <x:v>Editorial profile hero</x:v>
      </x:c>
      <x:c r="L17" s="65" t="str">
        <x:v>Partner legal-regulasi untuk langkah bisnis yang lebih terarah.</x:v>
      </x:c>
      <x:c r="M17" s="65" t="str">
        <x:v>src/components/ProfilePage.astro</x:v>
      </x:c>
      <x:c r="N17" s="65" t="str">
        <x:v>PROTOTYPE VISUAL – STRUCTURE EXISTS</x:v>
      </x:c>
      <x:c r="O17" s="65" t="str">
        <x:v>AST-015</x:v>
      </x:c>
      <x:c r="P17" s="65" t="str">
        <x:v>REF-CODE-012</x:v>
      </x:c>
      <x:c r="Q17" s="65" t="str">
        <x:v>Generated team-banner concept must be replaced or approved before launch claims are final.</x:v>
      </x:c>
      <x:c r="R17" s="65" t="str">
        <x:v>NO – EXISTING PROTOTYPE REFERENCE</x:v>
      </x:c>
      <x:c r="S17" s="65" t="str">
        <x:v>EXISTING UI – PROFILE HERO</x:v>
      </x:c>
      <x:c r="T17" s="65" t="str">
        <x:v>PLACEHOLDER INTERNAL</x:v>
      </x:c>
      <x:c r="U17" s="65" t="str">
        <x:v>READY FOR CONTENT APPROVAL</x:v>
      </x:c>
      <x:c r="V17" s="65" t="str">
        <x:v>FINAL</x:v>
      </x:c>
      <x:c r="W17" s="65" t="str">
        <x:v>Ajukan Konsultasi</x:v>
      </x:c>
      <x:c r="X17" s="65" t="str">
        <x:v>Contact</x:v>
      </x:c>
      <x:c r="Y17" s="66" t="str">
        <x:v>NOT REVIEWED</x:v>
      </x:c>
      <x:c r="Z17" s="66" t="str">
        <x:v>NOT APPROVED</x:v>
      </x:c>
      <x:c r="AA17" s="65" t="str">
        <x:v>03_Content_ID::P-001; src/components/ProfilePage.astro; REF-CODE-012</x:v>
      </x:c>
      <x:c r="AB17" s="66" t="str">
        <x:f>IF(COUNTIF($A$5:$A$50,A17)&lt;&gt;1,"FAIL – DUPLICATE MAPPING ID",IF(COUNTIF($C$5:$C$50,C17)&lt;&gt;1,"FAIL – DUPLICATE CONTENT ID",IF(COUNTA(A17:AA17)&lt;27,"INCOMPLETE","PASS – STRUCTURE")))</x:f>
        <x:v>PASS – STRUCTURE</x:v>
      </x:c>
      <x:c r="AC17" s="66" t="str">
        <x:f>IF(B17="WEBSITE-ONLY","OPEN – DOCUMENT DECISION REQUIRED",IF(LEFT(U17,5)&lt;&gt;"READY","BLOCKED – COPY/DEPENDENCY",IF(OR(LEFT(N17,7)="PARTIAL",LEFT(N17,15)="NOT IMPLEMENTED"),"DRAFT MAPPING – GAP OPEN","DRAFT MAPPING – READY FOR UI/UX REVIEW")))</x:f>
        <x:v>DRAFT MAPPING – READY FOR UI/UX REVIEW</x:v>
      </x:c>
      <x:c r="AD17" s="65" t="str"/>
      <x:c r="AE17" s="65" t="str"/>
    </x:row>
    <x:row r="18" ht="58.5" customHeight="1">
      <x:c r="A18" s="66" t="str">
        <x:v>MAP-014</x:v>
      </x:c>
      <x:c r="B18" s="66" t="str">
        <x:v>CONTENT BLOCK</x:v>
      </x:c>
      <x:c r="C18" s="66" t="str">
        <x:v>P-002</x:v>
      </x:c>
      <x:c r="D18" s="66" t="str">
        <x:v>Profile</x:v>
      </x:c>
      <x:c r="E18" s="66" t="str">
        <x:v>CURRENT</x:v>
      </x:c>
      <x:c r="F18" s="66" t="str">
        <x:v>ID + EN</x:v>
      </x:c>
      <x:c r="G18" s="66" t="str">
        <x:v>/{locale}/profile/</x:v>
      </x:c>
      <x:c r="H18" s="66" t="n">
        <x:v>2</x:v>
      </x:c>
      <x:c r="I18" s="65" t="str">
        <x:v>Identity</x:v>
      </x:c>
      <x:c r="J18" s="65" t="str">
        <x:v>Identity</x:v>
      </x:c>
      <x:c r="K18" s="65" t="str">
        <x:v>Company identity + gallery + registry</x:v>
      </x:c>
      <x:c r="L18" s="65" t="str">
        <x:v>Dioperasikan oleh badan usaha yang terkonfirmasi.</x:v>
      </x:c>
      <x:c r="M18" s="65" t="str">
        <x:v>src/components/ProfilePage.astro; src/components/CompanyGallery.astro</x:v>
      </x:c>
      <x:c r="N18" s="65" t="str">
        <x:v>PARTIAL – CODE STILL CONTAINS IDENTITY PLACEHOLDERS</x:v>
      </x:c>
      <x:c r="O18" s="65" t="str">
        <x:v>AST-006–AST-010</x:v>
      </x:c>
      <x:c r="P18" s="65" t="str">
        <x:v>REF-CODE-012</x:v>
      </x:c>
      <x:c r="Q18" s="65" t="str">
        <x:v>Aligned content confirms operator/name/year/location; code placeholders must not override those facts.</x:v>
      </x:c>
      <x:c r="R18" s="65" t="str">
        <x:v>YES – CONFIRMED IDENTITY STATE REQUIRED</x:v>
      </x:c>
      <x:c r="S18" s="65" t="str">
        <x:v>WF-PROFILE-02 – ADAPT EXISTING</x:v>
      </x:c>
      <x:c r="T18" s="65" t="str">
        <x:v>DIPERBARUI</x:v>
      </x:c>
      <x:c r="U18" s="65" t="str">
        <x:v>READY FOR CONTENT APPROVAL</x:v>
      </x:c>
      <x:c r="V18" s="65" t="str">
        <x:v>FINAL – FAKTA TERKONFIRMASI</x:v>
      </x:c>
      <x:c r="W18" s="65" t="str">
        <x:v>—</x:v>
      </x:c>
      <x:c r="X18" s="65" t="str">
        <x:v>—</x:v>
      </x:c>
      <x:c r="Y18" s="66" t="str">
        <x:v>NOT REVIEWED</x:v>
      </x:c>
      <x:c r="Z18" s="66" t="str">
        <x:v>NOT APPROVED</x:v>
      </x:c>
      <x:c r="AA18" s="65" t="str">
        <x:v>03_Content_ID::P-002; src/components/ProfilePage.astro; src/components/CompanyGallery.astro; REF-CODE-012</x:v>
      </x:c>
      <x:c r="AB18" s="66" t="str">
        <x:f>IF(COUNTIF($A$5:$A$50,A18)&lt;&gt;1,"FAIL – DUPLICATE MAPPING ID",IF(COUNTIF($C$5:$C$50,C18)&lt;&gt;1,"FAIL – DUPLICATE CONTENT ID",IF(COUNTA(A18:AA18)&lt;27,"INCOMPLETE","PASS – STRUCTURE")))</x:f>
        <x:v>PASS – STRUCTURE</x:v>
      </x:c>
      <x:c r="AC18" s="66" t="str">
        <x:f>IF(B18="WEBSITE-ONLY","OPEN – DOCUMENT DECISION REQUIRED",IF(LEFT(U18,5)&lt;&gt;"READY","BLOCKED – COPY/DEPENDENCY",IF(OR(LEFT(N18,7)="PARTIAL",LEFT(N18,15)="NOT IMPLEMENTED"),"DRAFT MAPPING – GAP OPEN","DRAFT MAPPING – READY FOR UI/UX REVIEW")))</x:f>
        <x:v>DRAFT MAPPING – GAP OPEN</x:v>
      </x:c>
      <x:c r="AD18" s="65" t="str"/>
      <x:c r="AE18" s="65" t="str"/>
    </x:row>
    <x:row r="19" ht="58.5" customHeight="1">
      <x:c r="A19" s="66" t="str">
        <x:v>MAP-015</x:v>
      </x:c>
      <x:c r="B19" s="66" t="str">
        <x:v>CONTENT BLOCK</x:v>
      </x:c>
      <x:c r="C19" s="66" t="str">
        <x:v>P-003</x:v>
      </x:c>
      <x:c r="D19" s="66" t="str">
        <x:v>Profile</x:v>
      </x:c>
      <x:c r="E19" s="66" t="str">
        <x:v>CURRENT</x:v>
      </x:c>
      <x:c r="F19" s="66" t="str">
        <x:v>ID + EN</x:v>
      </x:c>
      <x:c r="G19" s="66" t="str">
        <x:v>/{locale}/profile/</x:v>
      </x:c>
      <x:c r="H19" s="66" t="n">
        <x:v>3</x:v>
      </x:c>
      <x:c r="I19" s="65" t="str">
        <x:v>Approach</x:v>
      </x:c>
      <x:c r="J19" s="65" t="str">
        <x:v>Approach</x:v>
      </x:c>
      <x:c r="K19" s="65" t="str">
        <x:v>Company approach narrative</x:v>
      </x:c>
      <x:c r="L19" s="65" t="str">
        <x:v>Kami memulai dari kegiatan bisnis, bukan sekadar daftar izin.</x:v>
      </x:c>
      <x:c r="M19" s="65" t="str">
        <x:v>src/components/ProfilePage.astro</x:v>
      </x:c>
      <x:c r="N19" s="65" t="str">
        <x:v>PARTIAL – EMBEDDED IN COMPANY COPY</x:v>
      </x:c>
      <x:c r="O19" s="65" t="str">
        <x:v>AST-006–AST-010</x:v>
      </x:c>
      <x:c r="P19" s="65" t="str">
        <x:v>REF-CODE-012</x:v>
      </x:c>
      <x:c r="Q19" s="65" t="str">
        <x:v>Approach exists only inside company paragraphs, not as the documented standalone message block.</x:v>
      </x:c>
      <x:c r="R19" s="65" t="str">
        <x:v>YES – SECTION SEPARATION DECISION</x:v>
      </x:c>
      <x:c r="S19" s="65" t="str">
        <x:v>WF-PROFILE-03 – ADAPT EXISTING</x:v>
      </x:c>
      <x:c r="T19" s="65" t="str">
        <x:v>DIPERBARUI</x:v>
      </x:c>
      <x:c r="U19" s="65" t="str">
        <x:v>READY FOR CONTENT APPROVAL</x:v>
      </x:c>
      <x:c r="V19" s="65" t="str">
        <x:v>FINAL</x:v>
      </x:c>
      <x:c r="W19" s="65" t="str">
        <x:v>Lihat Cara Kami Membantu</x:v>
      </x:c>
      <x:c r="X19" s="65" t="str">
        <x:v>Services</x:v>
      </x:c>
      <x:c r="Y19" s="66" t="str">
        <x:v>NOT REVIEWED</x:v>
      </x:c>
      <x:c r="Z19" s="66" t="str">
        <x:v>NOT APPROVED</x:v>
      </x:c>
      <x:c r="AA19" s="65" t="str">
        <x:v>03_Content_ID::P-003; src/components/ProfilePage.astro; REF-CODE-012</x:v>
      </x:c>
      <x:c r="AB19" s="66" t="str">
        <x:f>IF(COUNTIF($A$5:$A$50,A19)&lt;&gt;1,"FAIL – DUPLICATE MAPPING ID",IF(COUNTIF($C$5:$C$50,C19)&lt;&gt;1,"FAIL – DUPLICATE CONTENT ID",IF(COUNTA(A19:AA19)&lt;27,"INCOMPLETE","PASS – STRUCTURE")))</x:f>
        <x:v>PASS – STRUCTURE</x:v>
      </x:c>
      <x:c r="AC19" s="66" t="str">
        <x:f>IF(B19="WEBSITE-ONLY","OPEN – DOCUMENT DECISION REQUIRED",IF(LEFT(U19,5)&lt;&gt;"READY","BLOCKED – COPY/DEPENDENCY",IF(OR(LEFT(N19,7)="PARTIAL",LEFT(N19,15)="NOT IMPLEMENTED"),"DRAFT MAPPING – GAP OPEN","DRAFT MAPPING – READY FOR UI/UX REVIEW")))</x:f>
        <x:v>DRAFT MAPPING – GAP OPEN</x:v>
      </x:c>
      <x:c r="AD19" s="65" t="str"/>
      <x:c r="AE19" s="65" t="str"/>
    </x:row>
    <x:row r="20" ht="58.5" customHeight="1">
      <x:c r="A20" s="66" t="str">
        <x:v>MAP-016</x:v>
      </x:c>
      <x:c r="B20" s="66" t="str">
        <x:v>CONTENT BLOCK</x:v>
      </x:c>
      <x:c r="C20" s="66" t="str">
        <x:v>P-004</x:v>
      </x:c>
      <x:c r="D20" s="66" t="str">
        <x:v>Profile</x:v>
      </x:c>
      <x:c r="E20" s="66" t="str">
        <x:v>CURRENT</x:v>
      </x:c>
      <x:c r="F20" s="66" t="str">
        <x:v>ID + EN</x:v>
      </x:c>
      <x:c r="G20" s="66" t="str">
        <x:v>/{locale}/profile/</x:v>
      </x:c>
      <x:c r="H20" s="66" t="n">
        <x:v>4</x:v>
      </x:c>
      <x:c r="I20" s="65" t="str">
        <x:v>Principles</x:v>
      </x:c>
      <x:c r="J20" s="65" t="str">
        <x:v>Principles</x:v>
      </x:c>
      <x:c r="K20" s="65" t="str">
        <x:v>Principles / boundary block</x:v>
      </x:c>
      <x:c r="L20" s="65" t="str">
        <x:v>Kejelasan dibangun melalui batas yang tegas.</x:v>
      </x:c>
      <x:c r="M20" s="65" t="str">
        <x:v>NOT FOUND AS A DEDICATED SECTION</x:v>
      </x:c>
      <x:c r="N20" s="65" t="str">
        <x:v>NOT IMPLEMENTED – SECTION MISSING</x:v>
      </x:c>
      <x:c r="O20" s="65" t="str">
        <x:v>N/A – NO MEDIA REQUIRED</x:v>
      </x:c>
      <x:c r="P20" s="65" t="str">
        <x:v>REF-DOC-001</x:v>
      </x:c>
      <x:c r="Q20" s="65" t="str">
        <x:v>Decide whether principles remain standalone or are merged into approach; no silent deletion.</x:v>
      </x:c>
      <x:c r="R20" s="65" t="str">
        <x:v>YES – SECTION REQUIRED OR COPY MERGE</x:v>
      </x:c>
      <x:c r="S20" s="65" t="str">
        <x:v>WF-PROFILE-04 – TO CREATE OR MERGE</x:v>
      </x:c>
      <x:c r="T20" s="65" t="str">
        <x:v>TIDAK DITEMUKAN DI WEBSITE</x:v>
      </x:c>
      <x:c r="U20" s="65" t="str">
        <x:v>READY FOR CONTENT APPROVAL</x:v>
      </x:c>
      <x:c r="V20" s="65" t="str">
        <x:v>FINAL</x:v>
      </x:c>
      <x:c r="W20" s="65" t="str">
        <x:v>Mulai Review Awal</x:v>
      </x:c>
      <x:c r="X20" s="65" t="str">
        <x:v>Contact</x:v>
      </x:c>
      <x:c r="Y20" s="66" t="str">
        <x:v>NOT REVIEWED</x:v>
      </x:c>
      <x:c r="Z20" s="66" t="str">
        <x:v>NOT APPROVED</x:v>
      </x:c>
      <x:c r="AA20" s="65" t="str">
        <x:v>03_Content_ID::P-004; NOT FOUND AS A DEDICATED SECTION; REF-DOC-001</x:v>
      </x:c>
      <x:c r="AB20" s="66" t="str">
        <x:f>IF(COUNTIF($A$5:$A$50,A20)&lt;&gt;1,"FAIL – DUPLICATE MAPPING ID",IF(COUNTIF($C$5:$C$50,C20)&lt;&gt;1,"FAIL – DUPLICATE CONTENT ID",IF(COUNTA(A20:AA20)&lt;27,"INCOMPLETE","PASS – STRUCTURE")))</x:f>
        <x:v>PASS – STRUCTURE</x:v>
      </x:c>
      <x:c r="AC20" s="66" t="str">
        <x:f>IF(B20="WEBSITE-ONLY","OPEN – DOCUMENT DECISION REQUIRED",IF(LEFT(U20,5)&lt;&gt;"READY","BLOCKED – COPY/DEPENDENCY",IF(OR(LEFT(N20,7)="PARTIAL",LEFT(N20,15)="NOT IMPLEMENTED"),"DRAFT MAPPING – GAP OPEN","DRAFT MAPPING – READY FOR UI/UX REVIEW")))</x:f>
        <x:v>DRAFT MAPPING – GAP OPEN</x:v>
      </x:c>
      <x:c r="AD20" s="65" t="str"/>
      <x:c r="AE20" s="65" t="str"/>
    </x:row>
    <x:row r="21" ht="58.5" customHeight="1">
      <x:c r="A21" s="66" t="str">
        <x:v>MAP-017</x:v>
      </x:c>
      <x:c r="B21" s="66" t="str">
        <x:v>CONTENT BLOCK</x:v>
      </x:c>
      <x:c r="C21" s="66" t="str">
        <x:v>P-005</x:v>
      </x:c>
      <x:c r="D21" s="66" t="str">
        <x:v>Profile</x:v>
      </x:c>
      <x:c r="E21" s="66" t="str">
        <x:v>CURRENT PROTOTYPE SECTION</x:v>
      </x:c>
      <x:c r="F21" s="66" t="str">
        <x:v>ID + EN</x:v>
      </x:c>
      <x:c r="G21" s="66" t="str">
        <x:v>/{locale}/profile/</x:v>
      </x:c>
      <x:c r="H21" s="66" t="n">
        <x:v>5</x:v>
      </x:c>
      <x:c r="I21" s="65" t="str">
        <x:v>Team directory</x:v>
      </x:c>
      <x:c r="J21" s="65" t="str">
        <x:v>Team Directory</x:v>
      </x:c>
      <x:c r="K21" s="65" t="str">
        <x:v>Three-member card directory</x:v>
      </x:c>
      <x:c r="L21" s="65" t="str">
        <x:v>Tim yang relevan untuk kebutuhan Anda.</x:v>
      </x:c>
      <x:c r="M21" s="65" t="str">
        <x:v>src/components/profile/TeamCarousel.astro; src/data/profile.ts</x:v>
      </x:c>
      <x:c r="N21" s="65" t="str">
        <x:v>PROTOTYPE / NO VERIFIED TEAM DATA</x:v>
      </x:c>
      <x:c r="O21" s="65" t="str">
        <x:v>AST-016–AST-018</x:v>
      </x:c>
      <x:c r="P21" s="65" t="str">
        <x:v>REF-CODE-013</x:v>
      </x:c>
      <x:c r="Q21" s="65" t="str">
        <x:v>Names, roles, credentials, portraits, contacts, and consent require verification; section must not launch as fact.</x:v>
      </x:c>
      <x:c r="R21" s="65" t="str">
        <x:v>NO – EXISTING PROTOTYPE REFERENCE</x:v>
      </x:c>
      <x:c r="S21" s="65" t="str">
        <x:v>EXISTING UI – TEAM DIRECTORY</x:v>
      </x:c>
      <x:c r="T21" s="65" t="str">
        <x:v>DATA DUMMY</x:v>
      </x:c>
      <x:c r="U21" s="65" t="str">
        <x:v>BLOCKED – VERIFIED TEAM DATA REQUIRED</x:v>
      </x:c>
      <x:c r="V21" s="65" t="str">
        <x:v>PLACEHOLDER – STAGING ONLY</x:v>
      </x:c>
      <x:c r="W21" s="65" t="str">
        <x:v>Kenali Tim</x:v>
      </x:c>
      <x:c r="X21" s="65" t="str">
        <x:v>Profile Detail</x:v>
      </x:c>
      <x:c r="Y21" s="66" t="str">
        <x:v>NOT REVIEWED</x:v>
      </x:c>
      <x:c r="Z21" s="66" t="str">
        <x:v>NOT APPROVED</x:v>
      </x:c>
      <x:c r="AA21" s="65" t="str">
        <x:v>03_Content_ID::P-005; src/components/profile/TeamCarousel.astro; src/data/profile.ts; REF-CODE-013</x:v>
      </x:c>
      <x:c r="AB21" s="66" t="str">
        <x:f>IF(COUNTIF($A$5:$A$50,A21)&lt;&gt;1,"FAIL – DUPLICATE MAPPING ID",IF(COUNTIF($C$5:$C$50,C21)&lt;&gt;1,"FAIL – DUPLICATE CONTENT ID",IF(COUNTA(A21:AA21)&lt;27,"INCOMPLETE","PASS – STRUCTURE")))</x:f>
        <x:v>PASS – STRUCTURE</x:v>
      </x:c>
      <x:c r="AC21" s="66" t="str">
        <x:f>IF(B21="WEBSITE-ONLY","OPEN – DOCUMENT DECISION REQUIRED",IF(LEFT(U21,5)&lt;&gt;"READY","BLOCKED – COPY/DEPENDENCY",IF(OR(LEFT(N21,7)="PARTIAL",LEFT(N21,15)="NOT IMPLEMENTED"),"DRAFT MAPPING – GAP OPEN","DRAFT MAPPING – READY FOR UI/UX REVIEW")))</x:f>
        <x:v>BLOCKED – COPY/DEPENDENCY</x:v>
      </x:c>
      <x:c r="AD21" s="65" t="str"/>
      <x:c r="AE21" s="65" t="str"/>
    </x:row>
    <x:row r="22" ht="58.5" customHeight="1">
      <x:c r="A22" s="66" t="str">
        <x:v>MAP-018</x:v>
      </x:c>
      <x:c r="B22" s="66" t="str">
        <x:v>CONTENT BLOCK</x:v>
      </x:c>
      <x:c r="C22" s="66" t="str">
        <x:v>P-006</x:v>
      </x:c>
      <x:c r="D22" s="66" t="str">
        <x:v>Profile</x:v>
      </x:c>
      <x:c r="E22" s="66" t="str">
        <x:v>CURRENT</x:v>
      </x:c>
      <x:c r="F22" s="66" t="str">
        <x:v>ID + EN</x:v>
      </x:c>
      <x:c r="G22" s="66" t="str">
        <x:v>/{locale}/profile/</x:v>
      </x:c>
      <x:c r="H22" s="66" t="n">
        <x:v>6</x:v>
      </x:c>
      <x:c r="I22" s="65" t="str">
        <x:v>Final CTA</x:v>
      </x:c>
      <x:c r="J22" s="65" t="str">
        <x:v>Final CTA</x:v>
      </x:c>
      <x:c r="K22" s="65" t="str">
        <x:v>Shared permit-start CTA</x:v>
      </x:c>
      <x:c r="L22" s="65" t="str">
        <x:v>Diskusikan konteks sebelum menentukan ruang lingkup.</x:v>
      </x:c>
      <x:c r="M22" s="65" t="str">
        <x:v>src/components/home/HomeFinalCta.astro</x:v>
      </x:c>
      <x:c r="N22" s="65" t="str">
        <x:v>IMPLEMENTED – STRUCTURE EXISTS</x:v>
      </x:c>
      <x:c r="O22" s="65" t="str">
        <x:v>N/A – NO MEDIA REQUIRED</x:v>
      </x:c>
      <x:c r="P22" s="65" t="str">
        <x:v>REF-CODE-011</x:v>
      </x:c>
      <x:c r="Q22" s="65" t="str">
        <x:v>Use approved scope boundary; no price or timeline promise.</x:v>
      </x:c>
      <x:c r="R22" s="65" t="str">
        <x:v>NO – EXISTING IMPLEMENTATION REFERENCE</x:v>
      </x:c>
      <x:c r="S22" s="65" t="str">
        <x:v>EXISTING UI – FINAL CTA</x:v>
      </x:c>
      <x:c r="T22" s="65" t="str">
        <x:v>DIPERBARUI</x:v>
      </x:c>
      <x:c r="U22" s="65" t="str">
        <x:v>READY FOR CONTENT APPROVAL</x:v>
      </x:c>
      <x:c r="V22" s="65" t="str">
        <x:v>FINAL WITH BOUNDARY</x:v>
      </x:c>
      <x:c r="W22" s="65" t="str">
        <x:v>Ajukan Konsultasi</x:v>
      </x:c>
      <x:c r="X22" s="65" t="str">
        <x:v>Contact</x:v>
      </x:c>
      <x:c r="Y22" s="66" t="str">
        <x:v>NOT REVIEWED</x:v>
      </x:c>
      <x:c r="Z22" s="66" t="str">
        <x:v>NOT APPROVED</x:v>
      </x:c>
      <x:c r="AA22" s="65" t="str">
        <x:v>03_Content_ID::P-006; src/components/home/HomeFinalCta.astro; REF-CODE-011</x:v>
      </x:c>
      <x:c r="AB22" s="66" t="str">
        <x:f>IF(COUNTIF($A$5:$A$50,A22)&lt;&gt;1,"FAIL – DUPLICATE MAPPING ID",IF(COUNTIF($C$5:$C$50,C22)&lt;&gt;1,"FAIL – DUPLICATE CONTENT ID",IF(COUNTA(A22:AA22)&lt;27,"INCOMPLETE","PASS – STRUCTURE")))</x:f>
        <x:v>PASS – STRUCTURE</x:v>
      </x:c>
      <x:c r="AC22" s="66" t="str">
        <x:f>IF(B22="WEBSITE-ONLY","OPEN – DOCUMENT DECISION REQUIRED",IF(LEFT(U22,5)&lt;&gt;"READY","BLOCKED – COPY/DEPENDENCY",IF(OR(LEFT(N22,7)="PARTIAL",LEFT(N22,15)="NOT IMPLEMENTED"),"DRAFT MAPPING – GAP OPEN","DRAFT MAPPING – READY FOR UI/UX REVIEW")))</x:f>
        <x:v>DRAFT MAPPING – READY FOR UI/UX REVIEW</x:v>
      </x:c>
      <x:c r="AD22" s="65" t="str"/>
      <x:c r="AE22" s="65" t="str"/>
    </x:row>
    <x:row r="23" ht="58.5" customHeight="1">
      <x:c r="A23" s="66" t="str">
        <x:v>MAP-019</x:v>
      </x:c>
      <x:c r="B23" s="66" t="str">
        <x:v>CONTENT BLOCK</x:v>
      </x:c>
      <x:c r="C23" s="66" t="str">
        <x:v>PD-001</x:v>
      </x:c>
      <x:c r="D23" s="66" t="str">
        <x:v>Profile Detail</x:v>
      </x:c>
      <x:c r="E23" s="66" t="str">
        <x:v>CURRENT PROTOTYPE / NOINDEX</x:v>
      </x:c>
      <x:c r="F23" s="66" t="str">
        <x:v>ID + EN</x:v>
      </x:c>
      <x:c r="G23" s="66" t="str">
        <x:v>/{locale}/profile/[slug]/</x:v>
      </x:c>
      <x:c r="H23" s="66" t="n">
        <x:v>1</x:v>
      </x:c>
      <x:c r="I23" s="65" t="str">
        <x:v>Profile template hero</x:v>
      </x:c>
      <x:c r="J23" s="65" t="str">
        <x:v>Profile Detail</x:v>
      </x:c>
      <x:c r="K23" s="65" t="str">
        <x:v>Person profile hero + overview</x:v>
      </x:c>
      <x:c r="L23" s="65" t="str">
        <x:v>[NAMA ANGGOTA TIM YANG DISETUJUI]</x:v>
      </x:c>
      <x:c r="M23" s="65" t="str">
        <x:v>src/components/PersonProfilePage.astro</x:v>
      </x:c>
      <x:c r="N23" s="65" t="str">
        <x:v>PROTOTYPE / NOINDEX</x:v>
      </x:c>
      <x:c r="O23" s="65" t="str">
        <x:v>AST-016–AST-018</x:v>
      </x:c>
      <x:c r="P23" s="65" t="str">
        <x:v>REF-CODE-014</x:v>
      </x:c>
      <x:c r="Q23" s="65" t="str">
        <x:v>Routes exist and are noindex,follow; do not add Person schema or launch until all identity evidence and consent are verified.</x:v>
      </x:c>
      <x:c r="R23" s="65" t="str">
        <x:v>NO – EXISTING PROTOTYPE REFERENCE</x:v>
      </x:c>
      <x:c r="S23" s="65" t="str">
        <x:v>EXISTING UI – PERSON PROFILE</x:v>
      </x:c>
      <x:c r="T23" s="65" t="str">
        <x:v>DATA DUMMY</x:v>
      </x:c>
      <x:c r="U23" s="65" t="str">
        <x:v>BLOCKED – DO NOT LAUNCH</x:v>
      </x:c>
      <x:c r="V23" s="65" t="str">
        <x:v>PLACEHOLDER – STAGING ONLY</x:v>
      </x:c>
      <x:c r="W23" s="65" t="str">
        <x:v>Ajukan Konsultasi</x:v>
      </x:c>
      <x:c r="X23" s="65" t="str">
        <x:v>Contact</x:v>
      </x:c>
      <x:c r="Y23" s="66" t="str">
        <x:v>NOT REVIEWED</x:v>
      </x:c>
      <x:c r="Z23" s="66" t="str">
        <x:v>NOT APPROVED</x:v>
      </x:c>
      <x:c r="AA23" s="65" t="str">
        <x:v>03_Content_ID::PD-001; src/components/PersonProfilePage.astro; REF-CODE-014</x:v>
      </x:c>
      <x:c r="AB23" s="66" t="str">
        <x:f>IF(COUNTIF($A$5:$A$50,A23)&lt;&gt;1,"FAIL – DUPLICATE MAPPING ID",IF(COUNTIF($C$5:$C$50,C23)&lt;&gt;1,"FAIL – DUPLICATE CONTENT ID",IF(COUNTA(A23:AA23)&lt;27,"INCOMPLETE","PASS – STRUCTURE")))</x:f>
        <x:v>PASS – STRUCTURE</x:v>
      </x:c>
      <x:c r="AC23" s="66" t="str">
        <x:f>IF(B23="WEBSITE-ONLY","OPEN – DOCUMENT DECISION REQUIRED",IF(LEFT(U23,5)&lt;&gt;"READY","BLOCKED – COPY/DEPENDENCY",IF(OR(LEFT(N23,7)="PARTIAL",LEFT(N23,15)="NOT IMPLEMENTED"),"DRAFT MAPPING – GAP OPEN","DRAFT MAPPING – READY FOR UI/UX REVIEW")))</x:f>
        <x:v>BLOCKED – COPY/DEPENDENCY</x:v>
      </x:c>
      <x:c r="AD23" s="65" t="str"/>
      <x:c r="AE23" s="65" t="str"/>
    </x:row>
    <x:row r="24" ht="58.5" customHeight="1">
      <x:c r="A24" s="66" t="str">
        <x:v>MAP-020</x:v>
      </x:c>
      <x:c r="B24" s="66" t="str">
        <x:v>CONTENT BLOCK</x:v>
      </x:c>
      <x:c r="C24" s="66" t="str">
        <x:v>S-001</x:v>
      </x:c>
      <x:c r="D24" s="66" t="str">
        <x:v>Services</x:v>
      </x:c>
      <x:c r="E24" s="66" t="str">
        <x:v>CURRENT</x:v>
      </x:c>
      <x:c r="F24" s="66" t="str">
        <x:v>ID + EN</x:v>
      </x:c>
      <x:c r="G24" s="66" t="str">
        <x:v>/{locale}/services/</x:v>
      </x:c>
      <x:c r="H24" s="66" t="n">
        <x:v>1</x:v>
      </x:c>
      <x:c r="I24" s="65" t="str">
        <x:v>Hero</x:v>
      </x:c>
      <x:c r="J24" s="65" t="str">
        <x:v>Hero</x:v>
      </x:c>
      <x:c r="K24" s="65" t="str">
        <x:v>Generic inner-page hero</x:v>
      </x:c>
      <x:c r="L24" s="65" t="str">
        <x:v>Empat jalur layanan untuk kebutuhan legal-regulasi bisnis.</x:v>
      </x:c>
      <x:c r="M24" s="65" t="str">
        <x:v>src/components/ContentPage.astro</x:v>
      </x:c>
      <x:c r="N24" s="65" t="str">
        <x:v>IMPLEMENTED – STRUCTURE EXISTS</x:v>
      </x:c>
      <x:c r="O24" s="65" t="str">
        <x:v>N/A – NO MEDIA REQUIRED</x:v>
      </x:c>
      <x:c r="P24" s="65" t="str">
        <x:v>REF-CODE-015</x:v>
      </x:c>
      <x:c r="Q24" s="65" t="str">
        <x:v>Current hero can accept approved four-category positioning.</x:v>
      </x:c>
      <x:c r="R24" s="65" t="str">
        <x:v>NO – EXISTING IMPLEMENTATION REFERENCE</x:v>
      </x:c>
      <x:c r="S24" s="65" t="str">
        <x:v>EXISTING UI – SERVICES HERO</x:v>
      </x:c>
      <x:c r="T24" s="65" t="str">
        <x:v>DIPERBARUI</x:v>
      </x:c>
      <x:c r="U24" s="65" t="str">
        <x:v>READY FOR CONTENT APPROVAL</x:v>
      </x:c>
      <x:c r="V24" s="65" t="str">
        <x:v>FINAL</x:v>
      </x:c>
      <x:c r="W24" s="65" t="str">
        <x:v>Ajukan Konsultasi</x:v>
      </x:c>
      <x:c r="X24" s="65" t="str">
        <x:v>Contact</x:v>
      </x:c>
      <x:c r="Y24" s="66" t="str">
        <x:v>NOT REVIEWED</x:v>
      </x:c>
      <x:c r="Z24" s="66" t="str">
        <x:v>NOT APPROVED</x:v>
      </x:c>
      <x:c r="AA24" s="65" t="str">
        <x:v>03_Content_ID::S-001; src/components/ContentPage.astro; REF-CODE-015</x:v>
      </x:c>
      <x:c r="AB24" s="66" t="str">
        <x:f>IF(COUNTIF($A$5:$A$50,A24)&lt;&gt;1,"FAIL – DUPLICATE MAPPING ID",IF(COUNTIF($C$5:$C$50,C24)&lt;&gt;1,"FAIL – DUPLICATE CONTENT ID",IF(COUNTA(A24:AA24)&lt;27,"INCOMPLETE","PASS – STRUCTURE")))</x:f>
        <x:v>PASS – STRUCTURE</x:v>
      </x:c>
      <x:c r="AC24" s="66" t="str">
        <x:f>IF(B24="WEBSITE-ONLY","OPEN – DOCUMENT DECISION REQUIRED",IF(LEFT(U24,5)&lt;&gt;"READY","BLOCKED – COPY/DEPENDENCY",IF(OR(LEFT(N24,7)="PARTIAL",LEFT(N24,15)="NOT IMPLEMENTED"),"DRAFT MAPPING – GAP OPEN","DRAFT MAPPING – READY FOR UI/UX REVIEW")))</x:f>
        <x:v>DRAFT MAPPING – READY FOR UI/UX REVIEW</x:v>
      </x:c>
      <x:c r="AD24" s="65" t="str"/>
      <x:c r="AE24" s="65" t="str"/>
    </x:row>
    <x:row r="25" ht="58.5" customHeight="1">
      <x:c r="A25" s="66" t="str">
        <x:v>MAP-021</x:v>
      </x:c>
      <x:c r="B25" s="66" t="str">
        <x:v>CONTENT BLOCK</x:v>
      </x:c>
      <x:c r="C25" s="66" t="str">
        <x:v>S-002</x:v>
      </x:c>
      <x:c r="D25" s="66" t="str">
        <x:v>Services</x:v>
      </x:c>
      <x:c r="E25" s="66" t="str">
        <x:v>CURRENT</x:v>
      </x:c>
      <x:c r="F25" s="66" t="str">
        <x:v>ID + EN</x:v>
      </x:c>
      <x:c r="G25" s="66" t="str">
        <x:v>/{locale}/services/</x:v>
      </x:c>
      <x:c r="H25" s="66" t="n">
        <x:v>2</x:v>
      </x:c>
      <x:c r="I25" s="65" t="str">
        <x:v>Decision guide</x:v>
      </x:c>
      <x:c r="J25" s="65" t="str">
        <x:v>Decision Guide</x:v>
      </x:c>
      <x:c r="K25" s="65" t="str">
        <x:v>Situation-based decision guide</x:v>
      </x:c>
      <x:c r="L25" s="65" t="str">
        <x:v>Mulai dari situasi bisnis Anda.</x:v>
      </x:c>
      <x:c r="M25" s="65" t="str">
        <x:v>NOT FOUND AS A DEDICATED SECTION</x:v>
      </x:c>
      <x:c r="N25" s="65" t="str">
        <x:v>NOT IMPLEMENTED – SECTION MISSING</x:v>
      </x:c>
      <x:c r="O25" s="65" t="str">
        <x:v>N/A – NO MEDIA REQUIRED</x:v>
      </x:c>
      <x:c r="P25" s="65" t="str">
        <x:v>REF-DOC-001</x:v>
      </x:c>
      <x:c r="Q25" s="65" t="str">
        <x:v>Current Services page moves directly from hero to categories; decision guide must be created or intentionally merged.</x:v>
      </x:c>
      <x:c r="R25" s="65" t="str">
        <x:v>YES – SECTION REQUIRED</x:v>
      </x:c>
      <x:c r="S25" s="65" t="str">
        <x:v>WF-SERVICES-02 – TO CREATE</x:v>
      </x:c>
      <x:c r="T25" s="65" t="str">
        <x:v>TIDAK DITEMUKAN DI WEBSITE</x:v>
      </x:c>
      <x:c r="U25" s="65" t="str">
        <x:v>READY FOR CONTENT APPROVAL</x:v>
      </x:c>
      <x:c r="V25" s="65" t="str">
        <x:v>FINAL</x:v>
      </x:c>
      <x:c r="W25" s="65" t="str">
        <x:v>Temukan Kategori yang Relevan</x:v>
      </x:c>
      <x:c r="X25" s="65" t="str">
        <x:v>Contact</x:v>
      </x:c>
      <x:c r="Y25" s="66" t="str">
        <x:v>NOT REVIEWED</x:v>
      </x:c>
      <x:c r="Z25" s="66" t="str">
        <x:v>NOT APPROVED</x:v>
      </x:c>
      <x:c r="AA25" s="65" t="str">
        <x:v>03_Content_ID::S-002; NOT FOUND AS A DEDICATED SECTION; REF-DOC-001</x:v>
      </x:c>
      <x:c r="AB25" s="66" t="str">
        <x:f>IF(COUNTIF($A$5:$A$50,A25)&lt;&gt;1,"FAIL – DUPLICATE MAPPING ID",IF(COUNTIF($C$5:$C$50,C25)&lt;&gt;1,"FAIL – DUPLICATE CONTENT ID",IF(COUNTA(A25:AA25)&lt;27,"INCOMPLETE","PASS – STRUCTURE")))</x:f>
        <x:v>PASS – STRUCTURE</x:v>
      </x:c>
      <x:c r="AC25" s="66" t="str">
        <x:f>IF(B25="WEBSITE-ONLY","OPEN – DOCUMENT DECISION REQUIRED",IF(LEFT(U25,5)&lt;&gt;"READY","BLOCKED – COPY/DEPENDENCY",IF(OR(LEFT(N25,7)="PARTIAL",LEFT(N25,15)="NOT IMPLEMENTED"),"DRAFT MAPPING – GAP OPEN","DRAFT MAPPING – READY FOR UI/UX REVIEW")))</x:f>
        <x:v>DRAFT MAPPING – GAP OPEN</x:v>
      </x:c>
      <x:c r="AD25" s="65" t="str"/>
      <x:c r="AE25" s="65" t="str"/>
    </x:row>
    <x:row r="26" ht="58.5" customHeight="1">
      <x:c r="A26" s="66" t="str">
        <x:v>MAP-022</x:v>
      </x:c>
      <x:c r="B26" s="66" t="str">
        <x:v>CONTENT BLOCK</x:v>
      </x:c>
      <x:c r="C26" s="66" t="str">
        <x:v>S-003</x:v>
      </x:c>
      <x:c r="D26" s="66" t="str">
        <x:v>Services</x:v>
      </x:c>
      <x:c r="E26" s="66" t="str">
        <x:v>CURRENT</x:v>
      </x:c>
      <x:c r="F26" s="66" t="str">
        <x:v>ID + EN</x:v>
      </x:c>
      <x:c r="G26" s="66" t="str">
        <x:v>/{locale}/services/</x:v>
      </x:c>
      <x:c r="H26" s="66" t="n">
        <x:v>3</x:v>
      </x:c>
      <x:c r="I26" s="65" t="str">
        <x:v>Service category</x:v>
      </x:c>
      <x:c r="J26" s="65" t="str">
        <x:v>Service Categories</x:v>
      </x:c>
      <x:c r="K26" s="65" t="str">
        <x:v>Category card 01</x:v>
      </x:c>
      <x:c r="L26" s="65" t="str">
        <x:v>Pendirian &amp; Legalitas Usaha</x:v>
      </x:c>
      <x:c r="M26" s="65" t="str">
        <x:v>src/components/ContentPage.astro; src/data/site.ts</x:v>
      </x:c>
      <x:c r="N26" s="65" t="str">
        <x:v>IMPLEMENTED – CATEGORY GRID</x:v>
      </x:c>
      <x:c r="O26" s="65" t="str">
        <x:v>N/A – NO MEDIA REQUIRED</x:v>
      </x:c>
      <x:c r="P26" s="65" t="str">
        <x:v>REF-CODE-015</x:v>
      </x:c>
      <x:c r="Q26" s="65" t="str">
        <x:v>Indicative-scope placeholder remains and is not a final deliverable list.</x:v>
      </x:c>
      <x:c r="R26" s="65" t="str">
        <x:v>NO – EXISTING IMPLEMENTATION REFERENCE</x:v>
      </x:c>
      <x:c r="S26" s="65" t="str">
        <x:v>EXISTING UI – SERVICES GRID</x:v>
      </x:c>
      <x:c r="T26" s="65" t="str">
        <x:v>DIPERBARUI</x:v>
      </x:c>
      <x:c r="U26" s="65" t="str">
        <x:v>READY FOR CONTENT APPROVAL</x:v>
      </x:c>
      <x:c r="V26" s="65" t="str">
        <x:v>FINAL – CATEGORY LEVEL</x:v>
      </x:c>
      <x:c r="W26" s="65" t="str">
        <x:v>Bahas Kebutuhan Ini</x:v>
      </x:c>
      <x:c r="X26" s="65" t="str">
        <x:v>Contact</x:v>
      </x:c>
      <x:c r="Y26" s="66" t="str">
        <x:v>NOT REVIEWED</x:v>
      </x:c>
      <x:c r="Z26" s="66" t="str">
        <x:v>NOT APPROVED</x:v>
      </x:c>
      <x:c r="AA26" s="65" t="str">
        <x:v>03_Content_ID::S-003; src/components/ContentPage.astro; src/data/site.ts; REF-CODE-015</x:v>
      </x:c>
      <x:c r="AB26" s="66" t="str">
        <x:f>IF(COUNTIF($A$5:$A$50,A26)&lt;&gt;1,"FAIL – DUPLICATE MAPPING ID",IF(COUNTIF($C$5:$C$50,C26)&lt;&gt;1,"FAIL – DUPLICATE CONTENT ID",IF(COUNTA(A26:AA26)&lt;27,"INCOMPLETE","PASS – STRUCTURE")))</x:f>
        <x:v>PASS – STRUCTURE</x:v>
      </x:c>
      <x:c r="AC26" s="66" t="str">
        <x:f>IF(B26="WEBSITE-ONLY","OPEN – DOCUMENT DECISION REQUIRED",IF(LEFT(U26,5)&lt;&gt;"READY","BLOCKED – COPY/DEPENDENCY",IF(OR(LEFT(N26,7)="PARTIAL",LEFT(N26,15)="NOT IMPLEMENTED"),"DRAFT MAPPING – GAP OPEN","DRAFT MAPPING – READY FOR UI/UX REVIEW")))</x:f>
        <x:v>DRAFT MAPPING – READY FOR UI/UX REVIEW</x:v>
      </x:c>
      <x:c r="AD26" s="65" t="str"/>
      <x:c r="AE26" s="65" t="str"/>
    </x:row>
    <x:row r="27" ht="58.5" customHeight="1">
      <x:c r="A27" s="66" t="str">
        <x:v>MAP-023</x:v>
      </x:c>
      <x:c r="B27" s="66" t="str">
        <x:v>CONTENT BLOCK</x:v>
      </x:c>
      <x:c r="C27" s="66" t="str">
        <x:v>S-004</x:v>
      </x:c>
      <x:c r="D27" s="66" t="str">
        <x:v>Services</x:v>
      </x:c>
      <x:c r="E27" s="66" t="str">
        <x:v>CURRENT</x:v>
      </x:c>
      <x:c r="F27" s="66" t="str">
        <x:v>ID + EN</x:v>
      </x:c>
      <x:c r="G27" s="66" t="str">
        <x:v>/{locale}/services/</x:v>
      </x:c>
      <x:c r="H27" s="66" t="n">
        <x:v>4</x:v>
      </x:c>
      <x:c r="I27" s="65" t="str">
        <x:v>Service category</x:v>
      </x:c>
      <x:c r="J27" s="65" t="str">
        <x:v>Service Categories</x:v>
      </x:c>
      <x:c r="K27" s="65" t="str">
        <x:v>Category card 02</x:v>
      </x:c>
      <x:c r="L27" s="65" t="str">
        <x:v>Perizinan Berbasis Risiko</x:v>
      </x:c>
      <x:c r="M27" s="65" t="str">
        <x:v>src/components/ContentPage.astro; src/data/site.ts</x:v>
      </x:c>
      <x:c r="N27" s="65" t="str">
        <x:v>IMPLEMENTED – CATEGORY GRID</x:v>
      </x:c>
      <x:c r="O27" s="65" t="str">
        <x:v>N/A – NO MEDIA REQUIRED</x:v>
      </x:c>
      <x:c r="P27" s="65" t="str">
        <x:v>REF-CODE-015</x:v>
      </x:c>
      <x:c r="Q27" s="65" t="str">
        <x:v>Sector coverage must remain bounded until validated.</x:v>
      </x:c>
      <x:c r="R27" s="65" t="str">
        <x:v>NO – EXISTING IMPLEMENTATION REFERENCE</x:v>
      </x:c>
      <x:c r="S27" s="65" t="str">
        <x:v>EXISTING UI – SERVICES GRID</x:v>
      </x:c>
      <x:c r="T27" s="65" t="str">
        <x:v>DIPERBARUI</x:v>
      </x:c>
      <x:c r="U27" s="65" t="str">
        <x:v>READY FOR CONTENT APPROVAL</x:v>
      </x:c>
      <x:c r="V27" s="65" t="str">
        <x:v>FINAL – CATEGORY LEVEL</x:v>
      </x:c>
      <x:c r="W27" s="65" t="str">
        <x:v>Bahas Kebutuhan Ini</x:v>
      </x:c>
      <x:c r="X27" s="65" t="str">
        <x:v>Contact</x:v>
      </x:c>
      <x:c r="Y27" s="66" t="str">
        <x:v>NOT REVIEWED</x:v>
      </x:c>
      <x:c r="Z27" s="66" t="str">
        <x:v>NOT APPROVED</x:v>
      </x:c>
      <x:c r="AA27" s="65" t="str">
        <x:v>03_Content_ID::S-004; src/components/ContentPage.astro; src/data/site.ts; REF-CODE-015</x:v>
      </x:c>
      <x:c r="AB27" s="66" t="str">
        <x:f>IF(COUNTIF($A$5:$A$50,A27)&lt;&gt;1,"FAIL – DUPLICATE MAPPING ID",IF(COUNTIF($C$5:$C$50,C27)&lt;&gt;1,"FAIL – DUPLICATE CONTENT ID",IF(COUNTA(A27:AA27)&lt;27,"INCOMPLETE","PASS – STRUCTURE")))</x:f>
        <x:v>PASS – STRUCTURE</x:v>
      </x:c>
      <x:c r="AC27" s="66" t="str">
        <x:f>IF(B27="WEBSITE-ONLY","OPEN – DOCUMENT DECISION REQUIRED",IF(LEFT(U27,5)&lt;&gt;"READY","BLOCKED – COPY/DEPENDENCY",IF(OR(LEFT(N27,7)="PARTIAL",LEFT(N27,15)="NOT IMPLEMENTED"),"DRAFT MAPPING – GAP OPEN","DRAFT MAPPING – READY FOR UI/UX REVIEW")))</x:f>
        <x:v>DRAFT MAPPING – READY FOR UI/UX REVIEW</x:v>
      </x:c>
      <x:c r="AD27" s="65" t="str"/>
      <x:c r="AE27" s="65" t="str"/>
    </x:row>
    <x:row r="28" ht="58.5" customHeight="1">
      <x:c r="A28" s="66" t="str">
        <x:v>MAP-024</x:v>
      </x:c>
      <x:c r="B28" s="66" t="str">
        <x:v>CONTENT BLOCK</x:v>
      </x:c>
      <x:c r="C28" s="66" t="str">
        <x:v>S-005</x:v>
      </x:c>
      <x:c r="D28" s="66" t="str">
        <x:v>Services</x:v>
      </x:c>
      <x:c r="E28" s="66" t="str">
        <x:v>CURRENT</x:v>
      </x:c>
      <x:c r="F28" s="66" t="str">
        <x:v>ID + EN</x:v>
      </x:c>
      <x:c r="G28" s="66" t="str">
        <x:v>/{locale}/services/</x:v>
      </x:c>
      <x:c r="H28" s="66" t="n">
        <x:v>5</x:v>
      </x:c>
      <x:c r="I28" s="65" t="str">
        <x:v>Service category</x:v>
      </x:c>
      <x:c r="J28" s="65" t="str">
        <x:v>Service Categories</x:v>
      </x:c>
      <x:c r="K28" s="65" t="str">
        <x:v>Category card 03</x:v>
      </x:c>
      <x:c r="L28" s="65" t="str">
        <x:v>Kepatuhan &amp; Legal Advisory</x:v>
      </x:c>
      <x:c r="M28" s="65" t="str">
        <x:v>src/components/ContentPage.astro; src/data/site.ts</x:v>
      </x:c>
      <x:c r="N28" s="65" t="str">
        <x:v>IMPLEMENTED – CATEGORY GRID</x:v>
      </x:c>
      <x:c r="O28" s="65" t="str">
        <x:v>N/A – NO MEDIA REQUIRED</x:v>
      </x:c>
      <x:c r="P28" s="65" t="str">
        <x:v>REF-CODE-015</x:v>
      </x:c>
      <x:c r="Q28" s="65" t="str">
        <x:v>Retainer/SOP/reviewer details remain outside publishable scope.</x:v>
      </x:c>
      <x:c r="R28" s="65" t="str">
        <x:v>NO – EXISTING IMPLEMENTATION REFERENCE</x:v>
      </x:c>
      <x:c r="S28" s="65" t="str">
        <x:v>EXISTING UI – SERVICES GRID</x:v>
      </x:c>
      <x:c r="T28" s="65" t="str">
        <x:v>DIPERBARUI</x:v>
      </x:c>
      <x:c r="U28" s="65" t="str">
        <x:v>READY FOR CONTENT APPROVAL</x:v>
      </x:c>
      <x:c r="V28" s="65" t="str">
        <x:v>FINAL – CATEGORY LEVEL</x:v>
      </x:c>
      <x:c r="W28" s="65" t="str">
        <x:v>Bahas Kebutuhan Ini</x:v>
      </x:c>
      <x:c r="X28" s="65" t="str">
        <x:v>Contact</x:v>
      </x:c>
      <x:c r="Y28" s="66" t="str">
        <x:v>NOT REVIEWED</x:v>
      </x:c>
      <x:c r="Z28" s="66" t="str">
        <x:v>NOT APPROVED</x:v>
      </x:c>
      <x:c r="AA28" s="65" t="str">
        <x:v>03_Content_ID::S-005; src/components/ContentPage.astro; src/data/site.ts; REF-CODE-015</x:v>
      </x:c>
      <x:c r="AB28" s="66" t="str">
        <x:f>IF(COUNTIF($A$5:$A$50,A28)&lt;&gt;1,"FAIL – DUPLICATE MAPPING ID",IF(COUNTIF($C$5:$C$50,C28)&lt;&gt;1,"FAIL – DUPLICATE CONTENT ID",IF(COUNTA(A28:AA28)&lt;27,"INCOMPLETE","PASS – STRUCTURE")))</x:f>
        <x:v>PASS – STRUCTURE</x:v>
      </x:c>
      <x:c r="AC28" s="66" t="str">
        <x:f>IF(B28="WEBSITE-ONLY","OPEN – DOCUMENT DECISION REQUIRED",IF(LEFT(U28,5)&lt;&gt;"READY","BLOCKED – COPY/DEPENDENCY",IF(OR(LEFT(N28,7)="PARTIAL",LEFT(N28,15)="NOT IMPLEMENTED"),"DRAFT MAPPING – GAP OPEN","DRAFT MAPPING – READY FOR UI/UX REVIEW")))</x:f>
        <x:v>DRAFT MAPPING – READY FOR UI/UX REVIEW</x:v>
      </x:c>
      <x:c r="AD28" s="65" t="str"/>
      <x:c r="AE28" s="65" t="str"/>
    </x:row>
    <x:row r="29" ht="58.5" customHeight="1">
      <x:c r="A29" s="66" t="str">
        <x:v>MAP-025</x:v>
      </x:c>
      <x:c r="B29" s="66" t="str">
        <x:v>CONTENT BLOCK</x:v>
      </x:c>
      <x:c r="C29" s="66" t="str">
        <x:v>S-006</x:v>
      </x:c>
      <x:c r="D29" s="66" t="str">
        <x:v>Services</x:v>
      </x:c>
      <x:c r="E29" s="66" t="str">
        <x:v>CURRENT</x:v>
      </x:c>
      <x:c r="F29" s="66" t="str">
        <x:v>ID + EN</x:v>
      </x:c>
      <x:c r="G29" s="66" t="str">
        <x:v>/{locale}/services/</x:v>
      </x:c>
      <x:c r="H29" s="66" t="n">
        <x:v>6</x:v>
      </x:c>
      <x:c r="I29" s="65" t="str">
        <x:v>Service category</x:v>
      </x:c>
      <x:c r="J29" s="65" t="str">
        <x:v>Service Categories</x:v>
      </x:c>
      <x:c r="K29" s="65" t="str">
        <x:v>Category card 04</x:v>
      </x:c>
      <x:c r="L29" s="65" t="str">
        <x:v>Perizinan Proyek &amp; Investasi</x:v>
      </x:c>
      <x:c r="M29" s="65" t="str">
        <x:v>src/components/ContentPage.astro; src/data/site.ts</x:v>
      </x:c>
      <x:c r="N29" s="65" t="str">
        <x:v>IMPLEMENTED – CATEGORY GRID</x:v>
      </x:c>
      <x:c r="O29" s="65" t="str">
        <x:v>N/A – NO MEDIA REQUIRED</x:v>
      </x:c>
      <x:c r="P29" s="65" t="str">
        <x:v>REF-CODE-015</x:v>
      </x:c>
      <x:c r="Q29" s="65" t="str">
        <x:v>Project/sector examples remain pending.</x:v>
      </x:c>
      <x:c r="R29" s="65" t="str">
        <x:v>NO – EXISTING IMPLEMENTATION REFERENCE</x:v>
      </x:c>
      <x:c r="S29" s="65" t="str">
        <x:v>EXISTING UI – SERVICES GRID</x:v>
      </x:c>
      <x:c r="T29" s="65" t="str">
        <x:v>DIPERBARUI</x:v>
      </x:c>
      <x:c r="U29" s="65" t="str">
        <x:v>READY FOR CONTENT APPROVAL</x:v>
      </x:c>
      <x:c r="V29" s="65" t="str">
        <x:v>FINAL – CATEGORY LEVEL</x:v>
      </x:c>
      <x:c r="W29" s="65" t="str">
        <x:v>Bahas Kebutuhan Ini</x:v>
      </x:c>
      <x:c r="X29" s="65" t="str">
        <x:v>Contact</x:v>
      </x:c>
      <x:c r="Y29" s="66" t="str">
        <x:v>NOT REVIEWED</x:v>
      </x:c>
      <x:c r="Z29" s="66" t="str">
        <x:v>NOT APPROVED</x:v>
      </x:c>
      <x:c r="AA29" s="65" t="str">
        <x:v>03_Content_ID::S-006; src/components/ContentPage.astro; src/data/site.ts; REF-CODE-015</x:v>
      </x:c>
      <x:c r="AB29" s="66" t="str">
        <x:f>IF(COUNTIF($A$5:$A$50,A29)&lt;&gt;1,"FAIL – DUPLICATE MAPPING ID",IF(COUNTIF($C$5:$C$50,C29)&lt;&gt;1,"FAIL – DUPLICATE CONTENT ID",IF(COUNTA(A29:AA29)&lt;27,"INCOMPLETE","PASS – STRUCTURE")))</x:f>
        <x:v>PASS – STRUCTURE</x:v>
      </x:c>
      <x:c r="AC29" s="66" t="str">
        <x:f>IF(B29="WEBSITE-ONLY","OPEN – DOCUMENT DECISION REQUIRED",IF(LEFT(U29,5)&lt;&gt;"READY","BLOCKED – COPY/DEPENDENCY",IF(OR(LEFT(N29,7)="PARTIAL",LEFT(N29,15)="NOT IMPLEMENTED"),"DRAFT MAPPING – GAP OPEN","DRAFT MAPPING – READY FOR UI/UX REVIEW")))</x:f>
        <x:v>DRAFT MAPPING – READY FOR UI/UX REVIEW</x:v>
      </x:c>
      <x:c r="AD29" s="65" t="str"/>
      <x:c r="AE29" s="65" t="str"/>
    </x:row>
    <x:row r="30" ht="58.5" customHeight="1">
      <x:c r="A30" s="66" t="str">
        <x:v>MAP-026</x:v>
      </x:c>
      <x:c r="B30" s="66" t="str">
        <x:v>CONTENT BLOCK</x:v>
      </x:c>
      <x:c r="C30" s="66" t="str">
        <x:v>S-007</x:v>
      </x:c>
      <x:c r="D30" s="66" t="str">
        <x:v>Services</x:v>
      </x:c>
      <x:c r="E30" s="66" t="str">
        <x:v>CURRENT</x:v>
      </x:c>
      <x:c r="F30" s="66" t="str">
        <x:v>ID + EN</x:v>
      </x:c>
      <x:c r="G30" s="66" t="str">
        <x:v>/{locale}/services/</x:v>
      </x:c>
      <x:c r="H30" s="66" t="n">
        <x:v>7</x:v>
      </x:c>
      <x:c r="I30" s="65" t="str">
        <x:v>Initial information</x:v>
      </x:c>
      <x:c r="J30" s="65" t="str">
        <x:v>Initial Information</x:v>
      </x:c>
      <x:c r="K30" s="65" t="str">
        <x:v>Assessment preparation checklist</x:v>
      </x:c>
      <x:c r="L30" s="65" t="str">
        <x:v>Informasi awal yang membantu asesmen.</x:v>
      </x:c>
      <x:c r="M30" s="65" t="str">
        <x:v>NOT FOUND AS A DEDICATED SECTION</x:v>
      </x:c>
      <x:c r="N30" s="65" t="str">
        <x:v>NOT IMPLEMENTED – SECTION MISSING</x:v>
      </x:c>
      <x:c r="O30" s="65" t="str">
        <x:v>N/A – NO MEDIA REQUIRED</x:v>
      </x:c>
      <x:c r="P30" s="65" t="str">
        <x:v>REF-DOC-001</x:v>
      </x:c>
      <x:c r="Q30" s="65" t="str">
        <x:v>Initial information currently lives mainly in the Contact form, not on Services.</x:v>
      </x:c>
      <x:c r="R30" s="65" t="str">
        <x:v>YES – SECTION REQUIRED</x:v>
      </x:c>
      <x:c r="S30" s="65" t="str">
        <x:v>WF-SERVICES-07 – TO CREATE</x:v>
      </x:c>
      <x:c r="T30" s="65" t="str">
        <x:v>TIDAK DITEMUKAN DI WEBSITE</x:v>
      </x:c>
      <x:c r="U30" s="65" t="str">
        <x:v>READY FOR CONTENT APPROVAL</x:v>
      </x:c>
      <x:c r="V30" s="65" t="str">
        <x:v>FINAL</x:v>
      </x:c>
      <x:c r="W30" s="65" t="str">
        <x:v>Siapkan Informasi Anda</x:v>
      </x:c>
      <x:c r="X30" s="65" t="str">
        <x:v>Contact</x:v>
      </x:c>
      <x:c r="Y30" s="66" t="str">
        <x:v>NOT REVIEWED</x:v>
      </x:c>
      <x:c r="Z30" s="66" t="str">
        <x:v>NOT APPROVED</x:v>
      </x:c>
      <x:c r="AA30" s="65" t="str">
        <x:v>03_Content_ID::S-007; NOT FOUND AS A DEDICATED SECTION; REF-DOC-001</x:v>
      </x:c>
      <x:c r="AB30" s="66" t="str">
        <x:f>IF(COUNTIF($A$5:$A$50,A30)&lt;&gt;1,"FAIL – DUPLICATE MAPPING ID",IF(COUNTIF($C$5:$C$50,C30)&lt;&gt;1,"FAIL – DUPLICATE CONTENT ID",IF(COUNTA(A30:AA30)&lt;27,"INCOMPLETE","PASS – STRUCTURE")))</x:f>
        <x:v>PASS – STRUCTURE</x:v>
      </x:c>
      <x:c r="AC30" s="66" t="str">
        <x:f>IF(B30="WEBSITE-ONLY","OPEN – DOCUMENT DECISION REQUIRED",IF(LEFT(U30,5)&lt;&gt;"READY","BLOCKED – COPY/DEPENDENCY",IF(OR(LEFT(N30,7)="PARTIAL",LEFT(N30,15)="NOT IMPLEMENTED"),"DRAFT MAPPING – GAP OPEN","DRAFT MAPPING – READY FOR UI/UX REVIEW")))</x:f>
        <x:v>DRAFT MAPPING – GAP OPEN</x:v>
      </x:c>
      <x:c r="AD30" s="65" t="str"/>
      <x:c r="AE30" s="65" t="str"/>
    </x:row>
    <x:row r="31" ht="58.5" customHeight="1">
      <x:c r="A31" s="66" t="str">
        <x:v>MAP-027</x:v>
      </x:c>
      <x:c r="B31" s="66" t="str">
        <x:v>CONTENT BLOCK</x:v>
      </x:c>
      <x:c r="C31" s="66" t="str">
        <x:v>S-008</x:v>
      </x:c>
      <x:c r="D31" s="66" t="str">
        <x:v>Services</x:v>
      </x:c>
      <x:c r="E31" s="66" t="str">
        <x:v>CURRENT</x:v>
      </x:c>
      <x:c r="F31" s="66" t="str">
        <x:v>ID + EN</x:v>
      </x:c>
      <x:c r="G31" s="66" t="str">
        <x:v>/{locale}/services/</x:v>
      </x:c>
      <x:c r="H31" s="66" t="n">
        <x:v>8</x:v>
      </x:c>
      <x:c r="I31" s="65" t="str">
        <x:v>Scope boundary</x:v>
      </x:c>
      <x:c r="J31" s="65" t="str">
        <x:v>Scope Boundary</x:v>
      </x:c>
      <x:c r="K31" s="65" t="str">
        <x:v>Scope note + Contact CTA</x:v>
      </x:c>
      <x:c r="L31" s="65" t="str">
        <x:v>Ruang lingkup mengikuti fakta setiap kebutuhan.</x:v>
      </x:c>
      <x:c r="M31" s="65" t="str">
        <x:v>src/components/ContentPage.astro</x:v>
      </x:c>
      <x:c r="N31" s="65" t="str">
        <x:v>IMPLEMENTED – STRUCTURE EXISTS</x:v>
      </x:c>
      <x:c r="O31" s="65" t="str">
        <x:v>N/A – NO MEDIA REQUIRED</x:v>
      </x:c>
      <x:c r="P31" s="65" t="str">
        <x:v>REF-CODE-015</x:v>
      </x:c>
      <x:c r="Q31" s="65" t="str">
        <x:v>Keep category-level language and do not imply fixed prices, timelines, or outcome guarantees.</x:v>
      </x:c>
      <x:c r="R31" s="65" t="str">
        <x:v>NO – EXISTING IMPLEMENTATION REFERENCE</x:v>
      </x:c>
      <x:c r="S31" s="65" t="str">
        <x:v>EXISTING UI – SCOPE NOTE</x:v>
      </x:c>
      <x:c r="T31" s="65" t="str">
        <x:v>DIPERBARUI</x:v>
      </x:c>
      <x:c r="U31" s="65" t="str">
        <x:v>READY FOR CONTENT APPROVAL</x:v>
      </x:c>
      <x:c r="V31" s="65" t="str">
        <x:v>FINAL WITH BOUNDARY</x:v>
      </x:c>
      <x:c r="W31" s="65" t="str">
        <x:v>Ajukan Review Awal</x:v>
      </x:c>
      <x:c r="X31" s="65" t="str">
        <x:v>Contact</x:v>
      </x:c>
      <x:c r="Y31" s="66" t="str">
        <x:v>NOT REVIEWED</x:v>
      </x:c>
      <x:c r="Z31" s="66" t="str">
        <x:v>NOT APPROVED</x:v>
      </x:c>
      <x:c r="AA31" s="65" t="str">
        <x:v>03_Content_ID::S-008; src/components/ContentPage.astro; REF-CODE-015</x:v>
      </x:c>
      <x:c r="AB31" s="66" t="str">
        <x:f>IF(COUNTIF($A$5:$A$50,A31)&lt;&gt;1,"FAIL – DUPLICATE MAPPING ID",IF(COUNTIF($C$5:$C$50,C31)&lt;&gt;1,"FAIL – DUPLICATE CONTENT ID",IF(COUNTA(A31:AA31)&lt;27,"INCOMPLETE","PASS – STRUCTURE")))</x:f>
        <x:v>PASS – STRUCTURE</x:v>
      </x:c>
      <x:c r="AC31" s="66" t="str">
        <x:f>IF(B31="WEBSITE-ONLY","OPEN – DOCUMENT DECISION REQUIRED",IF(LEFT(U31,5)&lt;&gt;"READY","BLOCKED – COPY/DEPENDENCY",IF(OR(LEFT(N31,7)="PARTIAL",LEFT(N31,15)="NOT IMPLEMENTED"),"DRAFT MAPPING – GAP OPEN","DRAFT MAPPING – READY FOR UI/UX REVIEW")))</x:f>
        <x:v>DRAFT MAPPING – READY FOR UI/UX REVIEW</x:v>
      </x:c>
      <x:c r="AD31" s="65" t="str"/>
      <x:c r="AE31" s="65" t="str"/>
    </x:row>
    <x:row r="32" ht="58.5" customHeight="1">
      <x:c r="A32" s="66" t="str">
        <x:v>MAP-028</x:v>
      </x:c>
      <x:c r="B32" s="66" t="str">
        <x:v>CONTENT BLOCK</x:v>
      </x:c>
      <x:c r="C32" s="66" t="str">
        <x:v>E-001</x:v>
      </x:c>
      <x:c r="D32" s="66" t="str">
        <x:v>Our Experiences</x:v>
      </x:c>
      <x:c r="E32" s="66" t="str">
        <x:v>CURRENT PROTOTYPE</x:v>
      </x:c>
      <x:c r="F32" s="66" t="str">
        <x:v>ID + EN</x:v>
      </x:c>
      <x:c r="G32" s="66" t="str">
        <x:v>/{locale}/projects/</x:v>
      </x:c>
      <x:c r="H32" s="66" t="n">
        <x:v>1</x:v>
      </x:c>
      <x:c r="I32" s="65" t="str">
        <x:v>Hero</x:v>
      </x:c>
      <x:c r="J32" s="65" t="str">
        <x:v>Hero</x:v>
      </x:c>
      <x:c r="K32" s="65" t="str">
        <x:v>Experience page hero</x:v>
      </x:c>
      <x:c r="L32" s="65" t="str">
        <x:v>Pengalaman yang dapat diperiksa.</x:v>
      </x:c>
      <x:c r="M32" s="65" t="str">
        <x:v>src/components/ContentPage.astro</x:v>
      </x:c>
      <x:c r="N32" s="65" t="str">
        <x:v>PROTOTYPE – PLACEHOLDER DISCLOSURE EXISTS</x:v>
      </x:c>
      <x:c r="O32" s="65" t="str">
        <x:v>N/A – NO MEDIA REQUIRED</x:v>
      </x:c>
      <x:c r="P32" s="65" t="str">
        <x:v>REF-CODE-015</x:v>
      </x:c>
      <x:c r="Q32" s="65" t="str">
        <x:v>The disclosure is useful, but the page remains staging-only and must not launch as fact.</x:v>
      </x:c>
      <x:c r="R32" s="65" t="str">
        <x:v>NO – EXISTING PROTOTYPE REFERENCE</x:v>
      </x:c>
      <x:c r="S32" s="65" t="str">
        <x:v>EXISTING UI – PROJECTS HERO</x:v>
      </x:c>
      <x:c r="T32" s="65" t="str">
        <x:v>PLACEHOLDER INTERNAL</x:v>
      </x:c>
      <x:c r="U32" s="65" t="str">
        <x:v>BLOCKED – DO NOT LAUNCH AS FACT</x:v>
      </x:c>
      <x:c r="V32" s="65" t="str">
        <x:v>PLACEHOLDER – STAGING ONLY</x:v>
      </x:c>
      <x:c r="W32" s="65" t="str">
        <x:v>Ajukan Konsultasi</x:v>
      </x:c>
      <x:c r="X32" s="65" t="str">
        <x:v>Contact</x:v>
      </x:c>
      <x:c r="Y32" s="66" t="str">
        <x:v>NOT REVIEWED</x:v>
      </x:c>
      <x:c r="Z32" s="66" t="str">
        <x:v>NOT APPROVED</x:v>
      </x:c>
      <x:c r="AA32" s="65" t="str">
        <x:v>03_Content_ID::E-001; src/components/ContentPage.astro; REF-CODE-015</x:v>
      </x:c>
      <x:c r="AB32" s="66" t="str">
        <x:f>IF(COUNTIF($A$5:$A$50,A32)&lt;&gt;1,"FAIL – DUPLICATE MAPPING ID",IF(COUNTIF($C$5:$C$50,C32)&lt;&gt;1,"FAIL – DUPLICATE CONTENT ID",IF(COUNTA(A32:AA32)&lt;27,"INCOMPLETE","PASS – STRUCTURE")))</x:f>
        <x:v>PASS – STRUCTURE</x:v>
      </x:c>
      <x:c r="AC32" s="66" t="str">
        <x:f>IF(B32="WEBSITE-ONLY","OPEN – DOCUMENT DECISION REQUIRED",IF(LEFT(U32,5)&lt;&gt;"READY","BLOCKED – COPY/DEPENDENCY",IF(OR(LEFT(N32,7)="PARTIAL",LEFT(N32,15)="NOT IMPLEMENTED"),"DRAFT MAPPING – GAP OPEN","DRAFT MAPPING – READY FOR UI/UX REVIEW")))</x:f>
        <x:v>BLOCKED – COPY/DEPENDENCY</x:v>
      </x:c>
      <x:c r="AD32" s="65" t="str"/>
      <x:c r="AE32" s="65" t="str"/>
    </x:row>
    <x:row r="33" ht="58.5" customHeight="1">
      <x:c r="A33" s="66" t="str">
        <x:v>MAP-029</x:v>
      </x:c>
      <x:c r="B33" s="66" t="str">
        <x:v>CONTENT BLOCK</x:v>
      </x:c>
      <x:c r="C33" s="66" t="str">
        <x:v>E-002</x:v>
      </x:c>
      <x:c r="D33" s="66" t="str">
        <x:v>Our Experiences</x:v>
      </x:c>
      <x:c r="E33" s="66" t="str">
        <x:v>CURRENT PROTOTYPE</x:v>
      </x:c>
      <x:c r="F33" s="66" t="str">
        <x:v>ID + EN</x:v>
      </x:c>
      <x:c r="G33" s="66" t="str">
        <x:v>/{locale}/projects/</x:v>
      </x:c>
      <x:c r="H33" s="66" t="n">
        <x:v>2</x:v>
      </x:c>
      <x:c r="I33" s="65" t="str">
        <x:v>Case card template</x:v>
      </x:c>
      <x:c r="J33" s="65" t="str">
        <x:v>Case Cards</x:v>
      </x:c>
      <x:c r="K33" s="65" t="str">
        <x:v>Three case placeholder cards</x:v>
      </x:c>
      <x:c r="L33" s="65" t="str">
        <x:v>[JUDUL CASE STUDY YANG DISETUJUI]</x:v>
      </x:c>
      <x:c r="M33" s="65" t="str">
        <x:v>src/components/ContentPage.astro; src/data/site.ts</x:v>
      </x:c>
      <x:c r="N33" s="65" t="str">
        <x:v>PROTOTYPE – EVIDENCE/CONSENT MISSING</x:v>
      </x:c>
      <x:c r="O33" s="65" t="str">
        <x:v>AST-011–AST-013 (HOME PREVIEW ONLY)</x:v>
      </x:c>
      <x:c r="P33" s="65" t="str">
        <x:v>REF-CODE-015</x:v>
      </x:c>
      <x:c r="Q33" s="65" t="str">
        <x:v>No approved client identity, outcome, proof, or consent is available.</x:v>
      </x:c>
      <x:c r="R33" s="65" t="str">
        <x:v>NO – EXISTING PROTOTYPE REFERENCE</x:v>
      </x:c>
      <x:c r="S33" s="65" t="str">
        <x:v>EXISTING UI – PROJECT CARDS</x:v>
      </x:c>
      <x:c r="T33" s="65" t="str">
        <x:v>DATA DUMMY</x:v>
      </x:c>
      <x:c r="U33" s="65" t="str">
        <x:v>BLOCKED – EVIDENCE + CONSENT REQUIRED</x:v>
      </x:c>
      <x:c r="V33" s="65" t="str">
        <x:v>PLACEHOLDER – STAGING ONLY</x:v>
      </x:c>
      <x:c r="W33" s="65" t="str">
        <x:v>Bahas Situasi Serupa</x:v>
      </x:c>
      <x:c r="X33" s="65" t="str">
        <x:v>Contact</x:v>
      </x:c>
      <x:c r="Y33" s="66" t="str">
        <x:v>NOT REVIEWED</x:v>
      </x:c>
      <x:c r="Z33" s="66" t="str">
        <x:v>NOT APPROVED</x:v>
      </x:c>
      <x:c r="AA33" s="65" t="str">
        <x:v>03_Content_ID::E-002; src/components/ContentPage.astro; src/data/site.ts; REF-CODE-015</x:v>
      </x:c>
      <x:c r="AB33" s="66" t="str">
        <x:f>IF(COUNTIF($A$5:$A$50,A33)&lt;&gt;1,"FAIL – DUPLICATE MAPPING ID",IF(COUNTIF($C$5:$C$50,C33)&lt;&gt;1,"FAIL – DUPLICATE CONTENT ID",IF(COUNTA(A33:AA33)&lt;27,"INCOMPLETE","PASS – STRUCTURE")))</x:f>
        <x:v>PASS – STRUCTURE</x:v>
      </x:c>
      <x:c r="AC33" s="66" t="str">
        <x:f>IF(B33="WEBSITE-ONLY","OPEN – DOCUMENT DECISION REQUIRED",IF(LEFT(U33,5)&lt;&gt;"READY","BLOCKED – COPY/DEPENDENCY",IF(OR(LEFT(N33,7)="PARTIAL",LEFT(N33,15)="NOT IMPLEMENTED"),"DRAFT MAPPING – GAP OPEN","DRAFT MAPPING – READY FOR UI/UX REVIEW")))</x:f>
        <x:v>BLOCKED – COPY/DEPENDENCY</x:v>
      </x:c>
      <x:c r="AD33" s="65" t="str"/>
      <x:c r="AE33" s="65" t="str"/>
    </x:row>
    <x:row r="34" ht="58.5" customHeight="1">
      <x:c r="A34" s="66" t="str">
        <x:v>MAP-030</x:v>
      </x:c>
      <x:c r="B34" s="66" t="str">
        <x:v>CONTENT BLOCK</x:v>
      </x:c>
      <x:c r="C34" s="66" t="str">
        <x:v>B-001</x:v>
      </x:c>
      <x:c r="D34" s="66" t="str">
        <x:v>Blog</x:v>
      </x:c>
      <x:c r="E34" s="66" t="str">
        <x:v>CURRENT PREVIEW</x:v>
      </x:c>
      <x:c r="F34" s="66" t="str">
        <x:v>ID + EN</x:v>
      </x:c>
      <x:c r="G34" s="66" t="str">
        <x:v>/{locale}/blog/</x:v>
      </x:c>
      <x:c r="H34" s="66" t="n">
        <x:v>1</x:v>
      </x:c>
      <x:c r="I34" s="65" t="str">
        <x:v>Hero</x:v>
      </x:c>
      <x:c r="J34" s="65" t="str">
        <x:v>Hero</x:v>
      </x:c>
      <x:c r="K34" s="65" t="str">
        <x:v>Blog index hero + filters</x:v>
      </x:c>
      <x:c r="L34" s="65" t="str">
        <x:v>Insight legal-regulasi untuk keputusan yang lebih siap.</x:v>
      </x:c>
      <x:c r="M34" s="65" t="str">
        <x:v>src/components/BlogIndexPage.astro</x:v>
      </x:c>
      <x:c r="N34" s="65" t="str">
        <x:v>PREVIEW – STRUCTURE EXISTS</x:v>
      </x:c>
      <x:c r="O34" s="65" t="str">
        <x:v>N/A – NO MEDIA REQUIRED</x:v>
      </x:c>
      <x:c r="P34" s="65" t="str">
        <x:v>REF-CODE-019</x:v>
      </x:c>
      <x:c r="Q34" s="65" t="str">
        <x:v>Framework is implemented; actual articles remain preview-only until reviewed.</x:v>
      </x:c>
      <x:c r="R34" s="65" t="str">
        <x:v>NO – EXISTING PREVIEW REFERENCE</x:v>
      </x:c>
      <x:c r="S34" s="65" t="str">
        <x:v>EXISTING UI – BLOG INDEX</x:v>
      </x:c>
      <x:c r="T34" s="65" t="str">
        <x:v>PLACEHOLDER INTERNAL</x:v>
      </x:c>
      <x:c r="U34" s="65" t="str">
        <x:v>READY FOR CONTENT APPROVAL</x:v>
      </x:c>
      <x:c r="V34" s="65" t="str">
        <x:v>FINAL FRAMEWORK / PREVIEW ONLY</x:v>
      </x:c>
      <x:c r="W34" s="65" t="str">
        <x:v>Ajukan Pertanyaan</x:v>
      </x:c>
      <x:c r="X34" s="65" t="str">
        <x:v>Contact</x:v>
      </x:c>
      <x:c r="Y34" s="66" t="str">
        <x:v>NOT REVIEWED</x:v>
      </x:c>
      <x:c r="Z34" s="66" t="str">
        <x:v>NOT APPROVED</x:v>
      </x:c>
      <x:c r="AA34" s="65" t="str">
        <x:v>03_Content_ID::B-001; src/components/BlogIndexPage.astro; REF-CODE-019</x:v>
      </x:c>
      <x:c r="AB34" s="66" t="str">
        <x:f>IF(COUNTIF($A$5:$A$50,A34)&lt;&gt;1,"FAIL – DUPLICATE MAPPING ID",IF(COUNTIF($C$5:$C$50,C34)&lt;&gt;1,"FAIL – DUPLICATE CONTENT ID",IF(COUNTA(A34:AA34)&lt;27,"INCOMPLETE","PASS – STRUCTURE")))</x:f>
        <x:v>PASS – STRUCTURE</x:v>
      </x:c>
      <x:c r="AC34" s="66" t="str">
        <x:f>IF(B34="WEBSITE-ONLY","OPEN – DOCUMENT DECISION REQUIRED",IF(LEFT(U34,5)&lt;&gt;"READY","BLOCKED – COPY/DEPENDENCY",IF(OR(LEFT(N34,7)="PARTIAL",LEFT(N34,15)="NOT IMPLEMENTED"),"DRAFT MAPPING – GAP OPEN","DRAFT MAPPING – READY FOR UI/UX REVIEW")))</x:f>
        <x:v>DRAFT MAPPING – READY FOR UI/UX REVIEW</x:v>
      </x:c>
      <x:c r="AD34" s="65" t="str"/>
      <x:c r="AE34" s="65" t="str"/>
    </x:row>
    <x:row r="35" ht="58.5" customHeight="1">
      <x:c r="A35" s="66" t="str">
        <x:v>MAP-031</x:v>
      </x:c>
      <x:c r="B35" s="66" t="str">
        <x:v>CONTENT BLOCK</x:v>
      </x:c>
      <x:c r="C35" s="66" t="str">
        <x:v>B-002</x:v>
      </x:c>
      <x:c r="D35" s="66" t="str">
        <x:v>Blog</x:v>
      </x:c>
      <x:c r="E35" s="66" t="str">
        <x:v>CURRENT PREVIEW</x:v>
      </x:c>
      <x:c r="F35" s="66" t="str">
        <x:v>ID + EN</x:v>
      </x:c>
      <x:c r="G35" s="66" t="str">
        <x:v>/{locale}/blog/</x:v>
      </x:c>
      <x:c r="H35" s="66" t="n">
        <x:v>2</x:v>
      </x:c>
      <x:c r="I35" s="65" t="str">
        <x:v>Article card template</x:v>
      </x:c>
      <x:c r="J35" s="65" t="str">
        <x:v>Article Cards</x:v>
      </x:c>
      <x:c r="K35" s="65" t="str">
        <x:v>Filtered article card list</x:v>
      </x:c>
      <x:c r="L35" s="65" t="str">
        <x:v>[JUDUL ARTIKEL YANG TELAH DIREVIEW]</x:v>
      </x:c>
      <x:c r="M35" s="65" t="str">
        <x:v>src/components/BlogIndexPage.astro; src/components/ArticleCard.astro</x:v>
      </x:c>
      <x:c r="N35" s="65" t="str">
        <x:v>PREVIEW – ARTICLES REQUIRE REVIEW</x:v>
      </x:c>
      <x:c r="O35" s="65" t="str">
        <x:v>AST-005</x:v>
      </x:c>
      <x:c r="P35" s="65" t="str">
        <x:v>REF-CODE-019</x:v>
      </x:c>
      <x:c r="Q35" s="65" t="str">
        <x:v>Do not launch cards or metadata as final legal content without editorial/legal review.</x:v>
      </x:c>
      <x:c r="R35" s="65" t="str">
        <x:v>NO – EXISTING PREVIEW REFERENCE</x:v>
      </x:c>
      <x:c r="S35" s="65" t="str">
        <x:v>EXISTING UI – ARTICLE CARDS</x:v>
      </x:c>
      <x:c r="T35" s="65" t="str">
        <x:v>PLACEHOLDER INTERNAL</x:v>
      </x:c>
      <x:c r="U35" s="65" t="str">
        <x:v>BLOCKED – REVIEW REQUIRED</x:v>
      </x:c>
      <x:c r="V35" s="65" t="str">
        <x:v>PLACEHOLDER – PREVIEW ONLY</x:v>
      </x:c>
      <x:c r="W35" s="65" t="str">
        <x:v>Baca Artikel</x:v>
      </x:c>
      <x:c r="X35" s="65" t="str">
        <x:v>Article Detail</x:v>
      </x:c>
      <x:c r="Y35" s="66" t="str">
        <x:v>NOT REVIEWED</x:v>
      </x:c>
      <x:c r="Z35" s="66" t="str">
        <x:v>NOT APPROVED</x:v>
      </x:c>
      <x:c r="AA35" s="65" t="str">
        <x:v>03_Content_ID::B-002; src/components/BlogIndexPage.astro; src/components/ArticleCard.astro; REF-CODE-019</x:v>
      </x:c>
      <x:c r="AB35" s="66" t="str">
        <x:f>IF(COUNTIF($A$5:$A$50,A35)&lt;&gt;1,"FAIL – DUPLICATE MAPPING ID",IF(COUNTIF($C$5:$C$50,C35)&lt;&gt;1,"FAIL – DUPLICATE CONTENT ID",IF(COUNTA(A35:AA35)&lt;27,"INCOMPLETE","PASS – STRUCTURE")))</x:f>
        <x:v>PASS – STRUCTURE</x:v>
      </x:c>
      <x:c r="AC35" s="66" t="str">
        <x:f>IF(B35="WEBSITE-ONLY","OPEN – DOCUMENT DECISION REQUIRED",IF(LEFT(U35,5)&lt;&gt;"READY","BLOCKED – COPY/DEPENDENCY",IF(OR(LEFT(N35,7)="PARTIAL",LEFT(N35,15)="NOT IMPLEMENTED"),"DRAFT MAPPING – GAP OPEN","DRAFT MAPPING – READY FOR UI/UX REVIEW")))</x:f>
        <x:v>BLOCKED – COPY/DEPENDENCY</x:v>
      </x:c>
      <x:c r="AD35" s="65" t="str"/>
      <x:c r="AE35" s="65" t="str"/>
    </x:row>
    <x:row r="36" ht="58.5" customHeight="1">
      <x:c r="A36" s="66" t="str">
        <x:v>MAP-032</x:v>
      </x:c>
      <x:c r="B36" s="66" t="str">
        <x:v>CONTENT BLOCK</x:v>
      </x:c>
      <x:c r="C36" s="66" t="str">
        <x:v>A-001</x:v>
      </x:c>
      <x:c r="D36" s="66" t="str">
        <x:v>Article Detail</x:v>
      </x:c>
      <x:c r="E36" s="66" t="str">
        <x:v>CURRENT PREVIEW</x:v>
      </x:c>
      <x:c r="F36" s="66" t="str">
        <x:v>ID + EN</x:v>
      </x:c>
      <x:c r="G36" s="66" t="str">
        <x:v>/{locale}/blog/[slug]/</x:v>
      </x:c>
      <x:c r="H36" s="66" t="n">
        <x:v>1</x:v>
      </x:c>
      <x:c r="I36" s="65" t="str">
        <x:v>Article template</x:v>
      </x:c>
      <x:c r="J36" s="65" t="str">
        <x:v>Article Detail</x:v>
      </x:c>
      <x:c r="K36" s="65" t="str">
        <x:v>Article template + disclaimer + related posts</x:v>
      </x:c>
      <x:c r="L36" s="65" t="str">
        <x:v>[JUDUL ARTIKEL YANG TELAH DIREVIEW]</x:v>
      </x:c>
      <x:c r="M36" s="65" t="str">
        <x:v>src/components/BlogPostPage.astro</x:v>
      </x:c>
      <x:c r="N36" s="65" t="str">
        <x:v>PREVIEW – CONTENT REVIEW MISSING</x:v>
      </x:c>
      <x:c r="O36" s="65" t="str">
        <x:v>AST-005</x:v>
      </x:c>
      <x:c r="P36" s="65" t="str">
        <x:v>REF-CODE-020</x:v>
      </x:c>
      <x:c r="Q36" s="65" t="str">
        <x:v>Template exists, but source, reviewer, review date, applicability, and legal sign-off remain required.</x:v>
      </x:c>
      <x:c r="R36" s="65" t="str">
        <x:v>NO – EXISTING PREVIEW REFERENCE</x:v>
      </x:c>
      <x:c r="S36" s="65" t="str">
        <x:v>EXISTING UI – BLOG POST</x:v>
      </x:c>
      <x:c r="T36" s="65" t="str">
        <x:v>PLACEHOLDER INTERNAL</x:v>
      </x:c>
      <x:c r="U36" s="65" t="str">
        <x:v>BLOCKED – REVIEW REQUIRED</x:v>
      </x:c>
      <x:c r="V36" s="65" t="str">
        <x:v>PLACEHOLDER – PREVIEW ONLY</x:v>
      </x:c>
      <x:c r="W36" s="65" t="str">
        <x:v>Diskusikan Kebutuhan Spesifik</x:v>
      </x:c>
      <x:c r="X36" s="65" t="str">
        <x:v>Contact</x:v>
      </x:c>
      <x:c r="Y36" s="66" t="str">
        <x:v>NOT REVIEWED</x:v>
      </x:c>
      <x:c r="Z36" s="66" t="str">
        <x:v>NOT APPROVED</x:v>
      </x:c>
      <x:c r="AA36" s="65" t="str">
        <x:v>03_Content_ID::A-001; src/components/BlogPostPage.astro; REF-CODE-020</x:v>
      </x:c>
      <x:c r="AB36" s="66" t="str">
        <x:f>IF(COUNTIF($A$5:$A$50,A36)&lt;&gt;1,"FAIL – DUPLICATE MAPPING ID",IF(COUNTIF($C$5:$C$50,C36)&lt;&gt;1,"FAIL – DUPLICATE CONTENT ID",IF(COUNTA(A36:AA36)&lt;27,"INCOMPLETE","PASS – STRUCTURE")))</x:f>
        <x:v>PASS – STRUCTURE</x:v>
      </x:c>
      <x:c r="AC36" s="66" t="str">
        <x:f>IF(B36="WEBSITE-ONLY","OPEN – DOCUMENT DECISION REQUIRED",IF(LEFT(U36,5)&lt;&gt;"READY","BLOCKED – COPY/DEPENDENCY",IF(OR(LEFT(N36,7)="PARTIAL",LEFT(N36,15)="NOT IMPLEMENTED"),"DRAFT MAPPING – GAP OPEN","DRAFT MAPPING – READY FOR UI/UX REVIEW")))</x:f>
        <x:v>BLOCKED – COPY/DEPENDENCY</x:v>
      </x:c>
      <x:c r="AD36" s="65" t="str"/>
      <x:c r="AE36" s="65" t="str"/>
    </x:row>
    <x:row r="37" ht="58.5" customHeight="1">
      <x:c r="A37" s="66" t="str">
        <x:v>MAP-033</x:v>
      </x:c>
      <x:c r="B37" s="66" t="str">
        <x:v>CONTENT BLOCK</x:v>
      </x:c>
      <x:c r="C37" s="66" t="str">
        <x:v>C-001</x:v>
      </x:c>
      <x:c r="D37" s="66" t="str">
        <x:v>Contact</x:v>
      </x:c>
      <x:c r="E37" s="66" t="str">
        <x:v>CURRENT</x:v>
      </x:c>
      <x:c r="F37" s="66" t="str">
        <x:v>ID + EN</x:v>
      </x:c>
      <x:c r="G37" s="66" t="str">
        <x:v>/{locale}/contact/</x:v>
      </x:c>
      <x:c r="H37" s="66" t="n">
        <x:v>1</x:v>
      </x:c>
      <x:c r="I37" s="65" t="str">
        <x:v>Hero</x:v>
      </x:c>
      <x:c r="J37" s="65" t="str">
        <x:v>Hero</x:v>
      </x:c>
      <x:c r="K37" s="65" t="str">
        <x:v>Contact page hero</x:v>
      </x:c>
      <x:c r="L37" s="65" t="str">
        <x:v>Ceritakan kebutuhan legal-regulasi bisnis Anda.</x:v>
      </x:c>
      <x:c r="M37" s="65" t="str">
        <x:v>src/components/ContactPage.astro</x:v>
      </x:c>
      <x:c r="N37" s="65" t="str">
        <x:v>IMPLEMENTED – STRUCTURE EXISTS</x:v>
      </x:c>
      <x:c r="O37" s="65" t="str">
        <x:v>N/A – NO MEDIA REQUIRED</x:v>
      </x:c>
      <x:c r="P37" s="65" t="str">
        <x:v>REF-CODE-016</x:v>
      </x:c>
      <x:c r="Q37" s="65" t="str">
        <x:v>CTA submits through the existing Contact form.</x:v>
      </x:c>
      <x:c r="R37" s="65" t="str">
        <x:v>NO – EXISTING IMPLEMENTATION REFERENCE</x:v>
      </x:c>
      <x:c r="S37" s="65" t="str">
        <x:v>EXISTING UI – CONTACT HERO</x:v>
      </x:c>
      <x:c r="T37" s="65" t="str">
        <x:v>DIPERBARUI</x:v>
      </x:c>
      <x:c r="U37" s="65" t="str">
        <x:v>READY FOR CONTENT APPROVAL</x:v>
      </x:c>
      <x:c r="V37" s="65" t="str">
        <x:v>FINAL</x:v>
      </x:c>
      <x:c r="W37" s="65" t="str">
        <x:v>Kirim Permintaan</x:v>
      </x:c>
      <x:c r="X37" s="65" t="str">
        <x:v>Contact form submit</x:v>
      </x:c>
      <x:c r="Y37" s="66" t="str">
        <x:v>NOT REVIEWED</x:v>
      </x:c>
      <x:c r="Z37" s="66" t="str">
        <x:v>NOT APPROVED</x:v>
      </x:c>
      <x:c r="AA37" s="65" t="str">
        <x:v>03_Content_ID::C-001; src/components/ContactPage.astro; REF-CODE-016</x:v>
      </x:c>
      <x:c r="AB37" s="66" t="str">
        <x:f>IF(COUNTIF($A$5:$A$50,A37)&lt;&gt;1,"FAIL – DUPLICATE MAPPING ID",IF(COUNTIF($C$5:$C$50,C37)&lt;&gt;1,"FAIL – DUPLICATE CONTENT ID",IF(COUNTA(A37:AA37)&lt;27,"INCOMPLETE","PASS – STRUCTURE")))</x:f>
        <x:v>PASS – STRUCTURE</x:v>
      </x:c>
      <x:c r="AC37" s="66" t="str">
        <x:f>IF(B37="WEBSITE-ONLY","OPEN – DOCUMENT DECISION REQUIRED",IF(LEFT(U37,5)&lt;&gt;"READY","BLOCKED – COPY/DEPENDENCY",IF(OR(LEFT(N37,7)="PARTIAL",LEFT(N37,15)="NOT IMPLEMENTED"),"DRAFT MAPPING – GAP OPEN","DRAFT MAPPING – READY FOR UI/UX REVIEW")))</x:f>
        <x:v>DRAFT MAPPING – READY FOR UI/UX REVIEW</x:v>
      </x:c>
      <x:c r="AD37" s="65" t="str"/>
      <x:c r="AE37" s="65" t="str"/>
    </x:row>
    <x:row r="38" ht="58.5" customHeight="1">
      <x:c r="A38" s="66" t="str">
        <x:v>MAP-034</x:v>
      </x:c>
      <x:c r="B38" s="66" t="str">
        <x:v>CONTENT BLOCK</x:v>
      </x:c>
      <x:c r="C38" s="66" t="str">
        <x:v>C-002</x:v>
      </x:c>
      <x:c r="D38" s="66" t="str">
        <x:v>Contact</x:v>
      </x:c>
      <x:c r="E38" s="66" t="str">
        <x:v>CURRENT</x:v>
      </x:c>
      <x:c r="F38" s="66" t="str">
        <x:v>ID + EN</x:v>
      </x:c>
      <x:c r="G38" s="66" t="str">
        <x:v>/{locale}/contact/</x:v>
      </x:c>
      <x:c r="H38" s="66" t="n">
        <x:v>2</x:v>
      </x:c>
      <x:c r="I38" s="65" t="str">
        <x:v>Preparation</x:v>
      </x:c>
      <x:c r="J38" s="65" t="str">
        <x:v>Preparation</x:v>
      </x:c>
      <x:c r="K38" s="65" t="str">
        <x:v>Form fields + safe-data guidance</x:v>
      </x:c>
      <x:c r="L38" s="65" t="str">
        <x:v>Informasi yang membantu review awal.</x:v>
      </x:c>
      <x:c r="M38" s="65" t="str">
        <x:v>src/components/ContactForm.astro</x:v>
      </x:c>
      <x:c r="N38" s="65" t="str">
        <x:v>IMPLEMENTED – STRUCTURE EXISTS</x:v>
      </x:c>
      <x:c r="O38" s="65" t="str">
        <x:v>N/A – NO MEDIA REQUIRED</x:v>
      </x:c>
      <x:c r="P38" s="65" t="str">
        <x:v>REF-CODE-017</x:v>
      </x:c>
      <x:c r="Q38" s="65" t="str">
        <x:v>Name, email, WhatsApp, company, service, message, consent, and honeypot are implemented.</x:v>
      </x:c>
      <x:c r="R38" s="65" t="str">
        <x:v>NO – EXISTING IMPLEMENTATION REFERENCE</x:v>
      </x:c>
      <x:c r="S38" s="65" t="str">
        <x:v>EXISTING UI – CONTACT FORM</x:v>
      </x:c>
      <x:c r="T38" s="65" t="str">
        <x:v>DIPERBARUI</x:v>
      </x:c>
      <x:c r="U38" s="65" t="str">
        <x:v>READY FOR CONTENT APPROVAL</x:v>
      </x:c>
      <x:c r="V38" s="65" t="str">
        <x:v>FINAL</x:v>
      </x:c>
      <x:c r="W38" s="65" t="str">
        <x:v>Isi Formulir</x:v>
      </x:c>
      <x:c r="X38" s="65" t="str">
        <x:v>Contact form</x:v>
      </x:c>
      <x:c r="Y38" s="66" t="str">
        <x:v>NOT REVIEWED</x:v>
      </x:c>
      <x:c r="Z38" s="66" t="str">
        <x:v>NOT APPROVED</x:v>
      </x:c>
      <x:c r="AA38" s="65" t="str">
        <x:v>03_Content_ID::C-002; src/components/ContactForm.astro; REF-CODE-017</x:v>
      </x:c>
      <x:c r="AB38" s="66" t="str">
        <x:f>IF(COUNTIF($A$5:$A$50,A38)&lt;&gt;1,"FAIL – DUPLICATE MAPPING ID",IF(COUNTIF($C$5:$C$50,C38)&lt;&gt;1,"FAIL – DUPLICATE CONTENT ID",IF(COUNTA(A38:AA38)&lt;27,"INCOMPLETE","PASS – STRUCTURE")))</x:f>
        <x:v>PASS – STRUCTURE</x:v>
      </x:c>
      <x:c r="AC38" s="66" t="str">
        <x:f>IF(B38="WEBSITE-ONLY","OPEN – DOCUMENT DECISION REQUIRED",IF(LEFT(U38,5)&lt;&gt;"READY","BLOCKED – COPY/DEPENDENCY",IF(OR(LEFT(N38,7)="PARTIAL",LEFT(N38,15)="NOT IMPLEMENTED"),"DRAFT MAPPING – GAP OPEN","DRAFT MAPPING – READY FOR UI/UX REVIEW")))</x:f>
        <x:v>DRAFT MAPPING – READY FOR UI/UX REVIEW</x:v>
      </x:c>
      <x:c r="AD38" s="65" t="str"/>
      <x:c r="AE38" s="65" t="str"/>
    </x:row>
    <x:row r="39" ht="58.5" customHeight="1">
      <x:c r="A39" s="66" t="str">
        <x:v>MAP-035</x:v>
      </x:c>
      <x:c r="B39" s="66" t="str">
        <x:v>CONTENT BLOCK</x:v>
      </x:c>
      <x:c r="C39" s="66" t="str">
        <x:v>C-003</x:v>
      </x:c>
      <x:c r="D39" s="66" t="str">
        <x:v>Contact</x:v>
      </x:c>
      <x:c r="E39" s="66" t="str">
        <x:v>CURRENT</x:v>
      </x:c>
      <x:c r="F39" s="66" t="str">
        <x:v>ID + EN</x:v>
      </x:c>
      <x:c r="G39" s="66" t="str">
        <x:v>/{locale}/contact/</x:v>
      </x:c>
      <x:c r="H39" s="66" t="n">
        <x:v>3</x:v>
      </x:c>
      <x:c r="I39" s="65" t="str">
        <x:v>After inquiry</x:v>
      </x:c>
      <x:c r="J39" s="65" t="str">
        <x:v>After Inquiry</x:v>
      </x:c>
      <x:c r="K39" s="65" t="str">
        <x:v>Submit state + delivery response</x:v>
      </x:c>
      <x:c r="L39" s="65" t="str">
        <x:v>Apa yang terjadi setelah inquiry dikirim.</x:v>
      </x:c>
      <x:c r="M39" s="65" t="str">
        <x:v>src/components/ContactForm.astro; src/pages/api/contact.ts</x:v>
      </x:c>
      <x:c r="N39" s="65" t="str">
        <x:v>PARTIAL – SUCCESS IS INLINE, POP-UP PENDING</x:v>
      </x:c>
      <x:c r="O39" s="65" t="str">
        <x:v>N/A – NO MEDIA REQUIRED</x:v>
      </x:c>
      <x:c r="P39" s="65" t="str">
        <x:v>REF-CODE-018</x:v>
      </x:c>
      <x:c r="Q39" s="65" t="str">
        <x:v>Resend-only delivery is implemented. Current success message is inline; the confirmed thank-you pop-up has not been implemented.</x:v>
      </x:c>
      <x:c r="R39" s="65" t="str">
        <x:v>YES – THANK-YOU POP-UP STATE</x:v>
      </x:c>
      <x:c r="S39" s="65" t="str">
        <x:v>WF-CONTACT-03 – ADAPT EXISTING</x:v>
      </x:c>
      <x:c r="T39" s="65" t="str">
        <x:v>DIPERBARUI</x:v>
      </x:c>
      <x:c r="U39" s="65" t="str">
        <x:v>READY FOR CONTENT APPROVAL</x:v>
      </x:c>
      <x:c r="V39" s="65" t="str">
        <x:v>FINAL WITH OPERATIONAL REVIEW</x:v>
      </x:c>
      <x:c r="W39" s="65" t="str">
        <x:v>Ajukan Konsultasi</x:v>
      </x:c>
      <x:c r="X39" s="65" t="str">
        <x:v>Contact form submit</x:v>
      </x:c>
      <x:c r="Y39" s="66" t="str">
        <x:v>NOT REVIEWED</x:v>
      </x:c>
      <x:c r="Z39" s="66" t="str">
        <x:v>NOT APPROVED</x:v>
      </x:c>
      <x:c r="AA39" s="65" t="str">
        <x:v>03_Content_ID::C-003; src/components/ContactForm.astro; src/pages/api/contact.ts; REF-CODE-018</x:v>
      </x:c>
      <x:c r="AB39" s="66" t="str">
        <x:f>IF(COUNTIF($A$5:$A$50,A39)&lt;&gt;1,"FAIL – DUPLICATE MAPPING ID",IF(COUNTIF($C$5:$C$50,C39)&lt;&gt;1,"FAIL – DUPLICATE CONTENT ID",IF(COUNTA(A39:AA39)&lt;27,"INCOMPLETE","PASS – STRUCTURE")))</x:f>
        <x:v>PASS – STRUCTURE</x:v>
      </x:c>
      <x:c r="AC39" s="66" t="str">
        <x:f>IF(B39="WEBSITE-ONLY","OPEN – DOCUMENT DECISION REQUIRED",IF(LEFT(U39,5)&lt;&gt;"READY","BLOCKED – COPY/DEPENDENCY",IF(OR(LEFT(N39,7)="PARTIAL",LEFT(N39,15)="NOT IMPLEMENTED"),"DRAFT MAPPING – GAP OPEN","DRAFT MAPPING – READY FOR UI/UX REVIEW")))</x:f>
        <x:v>DRAFT MAPPING – GAP OPEN</x:v>
      </x:c>
      <x:c r="AD39" s="65" t="str"/>
      <x:c r="AE39" s="65" t="str"/>
    </x:row>
    <x:row r="40" ht="58.5" customHeight="1">
      <x:c r="A40" s="66" t="str">
        <x:v>MAP-036</x:v>
      </x:c>
      <x:c r="B40" s="66" t="str">
        <x:v>CONTENT BLOCK</x:v>
      </x:c>
      <x:c r="C40" s="66" t="str">
        <x:v>C-004</x:v>
      </x:c>
      <x:c r="D40" s="66" t="str">
        <x:v>Contact</x:v>
      </x:c>
      <x:c r="E40" s="66" t="str">
        <x:v>CURRENT</x:v>
      </x:c>
      <x:c r="F40" s="66" t="str">
        <x:v>ID + EN</x:v>
      </x:c>
      <x:c r="G40" s="66" t="str">
        <x:v>/{locale}/contact/</x:v>
      </x:c>
      <x:c r="H40" s="66" t="n">
        <x:v>4</x:v>
      </x:c>
      <x:c r="I40" s="65" t="str">
        <x:v>Request boundary</x:v>
      </x:c>
      <x:c r="J40" s="65" t="str">
        <x:v>Request Boundary</x:v>
      </x:c>
      <x:c r="K40" s="65" t="str">
        <x:v>Urgency and sensitive-data notices</x:v>
      </x:c>
      <x:c r="L40" s="65" t="str">
        <x:v>Batas permintaan yang dapat ditangani.</x:v>
      </x:c>
      <x:c r="M40" s="65" t="str">
        <x:v>src/components/ContactPage.astro; src/components/ContactForm.astro</x:v>
      </x:c>
      <x:c r="N40" s="65" t="str">
        <x:v>IMPLEMENTED – STRUCTURE EXISTS</x:v>
      </x:c>
      <x:c r="O40" s="65" t="str">
        <x:v>N/A – NO MEDIA REQUIRED</x:v>
      </x:c>
      <x:c r="P40" s="65" t="str">
        <x:v>REF-CODE-016</x:v>
      </x:c>
      <x:c r="Q40" s="65" t="str">
        <x:v>Same-day emergency warning and sensitive-document warning are present.</x:v>
      </x:c>
      <x:c r="R40" s="65" t="str">
        <x:v>NO – EXISTING IMPLEMENTATION REFERENCE</x:v>
      </x:c>
      <x:c r="S40" s="65" t="str">
        <x:v>EXISTING UI – CONTACT NOTICE</x:v>
      </x:c>
      <x:c r="T40" s="65" t="str">
        <x:v>DIPERBARUI</x:v>
      </x:c>
      <x:c r="U40" s="65" t="str">
        <x:v>READY FOR CONTENT APPROVAL</x:v>
      </x:c>
      <x:c r="V40" s="65" t="str">
        <x:v>FINAL</x:v>
      </x:c>
      <x:c r="W40" s="65" t="str">
        <x:v>Hubungi melalui Formulir</x:v>
      </x:c>
      <x:c r="X40" s="65" t="str">
        <x:v>Contact form</x:v>
      </x:c>
      <x:c r="Y40" s="66" t="str">
        <x:v>NOT REVIEWED</x:v>
      </x:c>
      <x:c r="Z40" s="66" t="str">
        <x:v>NOT APPROVED</x:v>
      </x:c>
      <x:c r="AA40" s="65" t="str">
        <x:v>03_Content_ID::C-004; src/components/ContactPage.astro; src/components/ContactForm.astro; REF-CODE-016</x:v>
      </x:c>
      <x:c r="AB40" s="66" t="str">
        <x:f>IF(COUNTIF($A$5:$A$50,A40)&lt;&gt;1,"FAIL – DUPLICATE MAPPING ID",IF(COUNTIF($C$5:$C$50,C40)&lt;&gt;1,"FAIL – DUPLICATE CONTENT ID",IF(COUNTA(A40:AA40)&lt;27,"INCOMPLETE","PASS – STRUCTURE")))</x:f>
        <x:v>PASS – STRUCTURE</x:v>
      </x:c>
      <x:c r="AC40" s="66" t="str">
        <x:f>IF(B40="WEBSITE-ONLY","OPEN – DOCUMENT DECISION REQUIRED",IF(LEFT(U40,5)&lt;&gt;"READY","BLOCKED – COPY/DEPENDENCY",IF(OR(LEFT(N40,7)="PARTIAL",LEFT(N40,15)="NOT IMPLEMENTED"),"DRAFT MAPPING – GAP OPEN","DRAFT MAPPING – READY FOR UI/UX REVIEW")))</x:f>
        <x:v>DRAFT MAPPING – READY FOR UI/UX REVIEW</x:v>
      </x:c>
      <x:c r="AD40" s="65" t="str"/>
      <x:c r="AE40" s="65" t="str"/>
    </x:row>
    <x:row r="41" ht="58.5" customHeight="1">
      <x:c r="A41" s="66" t="str">
        <x:v>MAP-037</x:v>
      </x:c>
      <x:c r="B41" s="66" t="str">
        <x:v>CONTENT BLOCK</x:v>
      </x:c>
      <x:c r="C41" s="66" t="str">
        <x:v>C-005</x:v>
      </x:c>
      <x:c r="D41" s="66" t="str">
        <x:v>Contact</x:v>
      </x:c>
      <x:c r="E41" s="66" t="str">
        <x:v>CURRENT</x:v>
      </x:c>
      <x:c r="F41" s="66" t="str">
        <x:v>ID + EN</x:v>
      </x:c>
      <x:c r="G41" s="66" t="str">
        <x:v>/{locale}/contact/</x:v>
      </x:c>
      <x:c r="H41" s="66" t="n">
        <x:v>5</x:v>
      </x:c>
      <x:c r="I41" s="65" t="str">
        <x:v>Contact alternatives</x:v>
      </x:c>
      <x:c r="J41" s="65" t="str">
        <x:v>Contact Channels</x:v>
      </x:c>
      <x:c r="K41" s="65" t="str">
        <x:v>WhatsApp, email, address</x:v>
      </x:c>
      <x:c r="L41" s="65" t="str">
        <x:v>Kontak publik Galdino &amp; Partner</x:v>
      </x:c>
      <x:c r="M41" s="65" t="str">
        <x:v>src/components/ContactPage.astro; src/data/site.ts</x:v>
      </x:c>
      <x:c r="N41" s="65" t="str">
        <x:v>IMPLEMENTED – PROJECT/KULTIVATE CONTACT; ADDRESS PLACEHOLDER</x:v>
      </x:c>
      <x:c r="O41" s="65" t="str">
        <x:v>N/A – NO MEDIA REQUIRED</x:v>
      </x:c>
      <x:c r="P41" s="65" t="str">
        <x:v>REF-CODE-016</x:v>
      </x:c>
      <x:c r="Q41" s="65" t="str">
        <x:v>Project/Kultivate contact may be shown for now; public launch contact, address, and privacy route still require approval.</x:v>
      </x:c>
      <x:c r="R41" s="65" t="str">
        <x:v>YES – LAUNCH CONTACT STATE</x:v>
      </x:c>
      <x:c r="S41" s="65" t="str">
        <x:v>WF-CONTACT-05 – ADAPT EXISTING</x:v>
      </x:c>
      <x:c r="T41" s="65" t="str">
        <x:v>MENUNGGU VERIFIKASI</x:v>
      </x:c>
      <x:c r="U41" s="65" t="str">
        <x:v>BLOCKED – CONTACT APPROVAL REQUIRED</x:v>
      </x:c>
      <x:c r="V41" s="65" t="str">
        <x:v>PLACEHOLDER – TIDAK BOLEH TAYANG</x:v>
      </x:c>
      <x:c r="W41" s="65" t="str">
        <x:v>—</x:v>
      </x:c>
      <x:c r="X41" s="65" t="str">
        <x:v>—</x:v>
      </x:c>
      <x:c r="Y41" s="66" t="str">
        <x:v>NOT REVIEWED</x:v>
      </x:c>
      <x:c r="Z41" s="66" t="str">
        <x:v>NOT APPROVED</x:v>
      </x:c>
      <x:c r="AA41" s="65" t="str">
        <x:v>03_Content_ID::C-005; src/components/ContactPage.astro; src/data/site.ts; REF-CODE-016</x:v>
      </x:c>
      <x:c r="AB41" s="66" t="str">
        <x:f>IF(COUNTIF($A$5:$A$50,A41)&lt;&gt;1,"FAIL – DUPLICATE MAPPING ID",IF(COUNTIF($C$5:$C$50,C41)&lt;&gt;1,"FAIL – DUPLICATE CONTENT ID",IF(COUNTA(A41:AA41)&lt;27,"INCOMPLETE","PASS – STRUCTURE")))</x:f>
        <x:v>PASS – STRUCTURE</x:v>
      </x:c>
      <x:c r="AC41" s="66" t="str">
        <x:f>IF(B41="WEBSITE-ONLY","OPEN – DOCUMENT DECISION REQUIRED",IF(LEFT(U41,5)&lt;&gt;"READY","BLOCKED – COPY/DEPENDENCY",IF(OR(LEFT(N41,7)="PARTIAL",LEFT(N41,15)="NOT IMPLEMENTED"),"DRAFT MAPPING – GAP OPEN","DRAFT MAPPING – READY FOR UI/UX REVIEW")))</x:f>
        <x:v>BLOCKED – COPY/DEPENDENCY</x:v>
      </x:c>
      <x:c r="AD41" s="65" t="str"/>
      <x:c r="AE41" s="65" t="str"/>
    </x:row>
    <x:row r="42" ht="58.5" customHeight="1">
      <x:c r="A42" s="66" t="str">
        <x:v>MAP-038</x:v>
      </x:c>
      <x:c r="B42" s="66" t="str">
        <x:v>CONTENT BLOCK</x:v>
      </x:c>
      <x:c r="C42" s="66" t="str">
        <x:v>SD1-001</x:v>
      </x:c>
      <x:c r="D42" s="66" t="str">
        <x:v>Service Detail — Pendirian &amp; Legalitas</x:v>
      </x:c>
      <x:c r="E42" s="66" t="str">
        <x:v>BACKLOG</x:v>
      </x:c>
      <x:c r="F42" s="66" t="str">
        <x:v>ID + EN</x:v>
      </x:c>
      <x:c r="G42" s="66" t="str">
        <x:v>BACKLOG – ROUTE NOT DEFINED</x:v>
      </x:c>
      <x:c r="H42" s="66" t="n">
        <x:v>1</x:v>
      </x:c>
      <x:c r="I42" s="65" t="str">
        <x:v>Hero + scope template</x:v>
      </x:c>
      <x:c r="J42" s="65" t="str">
        <x:v>Service Detail</x:v>
      </x:c>
      <x:c r="K42" s="65" t="str">
        <x:v>Hero + scope template</x:v>
      </x:c>
      <x:c r="L42" s="65" t="str">
        <x:v>Fondasi legal yang selaras dengan rencana operasional.</x:v>
      </x:c>
      <x:c r="M42" s="65" t="str">
        <x:v>NO ROUTE OR COMPONENT</x:v>
      </x:c>
      <x:c r="N42" s="65" t="str">
        <x:v>NOT IMPLEMENTED – ROUTE MISSING</x:v>
      </x:c>
      <x:c r="O42" s="65" t="str">
        <x:v>N/A – MEDIA UNDECIDED</x:v>
      </x:c>
      <x:c r="P42" s="65" t="str">
        <x:v>REF-DOC-001</x:v>
      </x:c>
      <x:c r="Q42" s="65" t="str">
        <x:v>Do not create a route until detailed scope and operating model are approved.</x:v>
      </x:c>
      <x:c r="R42" s="65" t="str">
        <x:v>YES – FULL PAGE WIREFRAME</x:v>
      </x:c>
      <x:c r="S42" s="65" t="str">
        <x:v>WF-SD-01 – TO CREATE AFTER SCOPE APPROVAL</x:v>
      </x:c>
      <x:c r="T42" s="65" t="str">
        <x:v>TIDAK DITEMUKAN DI WEBSITE</x:v>
      </x:c>
      <x:c r="U42" s="65" t="str">
        <x:v>BLOCKED – CONTENT DEPENDENCIES</x:v>
      </x:c>
      <x:c r="V42" s="65" t="str">
        <x:v>BACKLOG – PLACEHOLDER</x:v>
      </x:c>
      <x:c r="W42" s="65" t="str">
        <x:v>Ajukan Review Awal</x:v>
      </x:c>
      <x:c r="X42" s="65" t="str">
        <x:v>Contact</x:v>
      </x:c>
      <x:c r="Y42" s="66" t="str">
        <x:v>NOT REVIEWED</x:v>
      </x:c>
      <x:c r="Z42" s="66" t="str">
        <x:v>NOT APPROVED</x:v>
      </x:c>
      <x:c r="AA42" s="65" t="str">
        <x:v>03_Content_ID::SD1-001; NO ROUTE OR COMPONENT; REF-DOC-001</x:v>
      </x:c>
      <x:c r="AB42" s="66" t="str">
        <x:f>IF(COUNTIF($A$5:$A$50,A42)&lt;&gt;1,"FAIL – DUPLICATE MAPPING ID",IF(COUNTIF($C$5:$C$50,C42)&lt;&gt;1,"FAIL – DUPLICATE CONTENT ID",IF(COUNTA(A42:AA42)&lt;27,"INCOMPLETE","PASS – STRUCTURE")))</x:f>
        <x:v>PASS – STRUCTURE</x:v>
      </x:c>
      <x:c r="AC42" s="66" t="str">
        <x:f>IF(B42="WEBSITE-ONLY","OPEN – DOCUMENT DECISION REQUIRED",IF(LEFT(U42,5)&lt;&gt;"READY","BLOCKED – COPY/DEPENDENCY",IF(OR(LEFT(N42,7)="PARTIAL",LEFT(N42,15)="NOT IMPLEMENTED"),"DRAFT MAPPING – GAP OPEN","DRAFT MAPPING – READY FOR UI/UX REVIEW")))</x:f>
        <x:v>BLOCKED – COPY/DEPENDENCY</x:v>
      </x:c>
      <x:c r="AD42" s="65" t="str"/>
      <x:c r="AE42" s="65" t="str"/>
    </x:row>
    <x:row r="43" ht="58.5" customHeight="1">
      <x:c r="A43" s="66" t="str">
        <x:v>MAP-039</x:v>
      </x:c>
      <x:c r="B43" s="66" t="str">
        <x:v>CONTENT BLOCK</x:v>
      </x:c>
      <x:c r="C43" s="66" t="str">
        <x:v>SD2-001</x:v>
      </x:c>
      <x:c r="D43" s="66" t="str">
        <x:v>Service Detail — Perizinan Berbasis Risiko</x:v>
      </x:c>
      <x:c r="E43" s="66" t="str">
        <x:v>BACKLOG</x:v>
      </x:c>
      <x:c r="F43" s="66" t="str">
        <x:v>ID + EN</x:v>
      </x:c>
      <x:c r="G43" s="66" t="str">
        <x:v>BACKLOG – ROUTE NOT DEFINED</x:v>
      </x:c>
      <x:c r="H43" s="66" t="n">
        <x:v>1</x:v>
      </x:c>
      <x:c r="I43" s="65" t="str">
        <x:v>Hero + scope template</x:v>
      </x:c>
      <x:c r="J43" s="65" t="str">
        <x:v>Service Detail</x:v>
      </x:c>
      <x:c r="K43" s="65" t="str">
        <x:v>Hero + scope template</x:v>
      </x:c>
      <x:c r="L43" s="65" t="str">
        <x:v>Petakan kegiatan, KBLI, tingkat risiko, dan izin lanjutannya.</x:v>
      </x:c>
      <x:c r="M43" s="65" t="str">
        <x:v>NO ROUTE OR COMPONENT</x:v>
      </x:c>
      <x:c r="N43" s="65" t="str">
        <x:v>NOT IMPLEMENTED – ROUTE MISSING</x:v>
      </x:c>
      <x:c r="O43" s="65" t="str">
        <x:v>N/A – MEDIA UNDECIDED</x:v>
      </x:c>
      <x:c r="P43" s="65" t="str">
        <x:v>REF-DOC-001</x:v>
      </x:c>
      <x:c r="Q43" s="65" t="str">
        <x:v>Do not create sector-specific claims before coverage is validated.</x:v>
      </x:c>
      <x:c r="R43" s="65" t="str">
        <x:v>YES – FULL PAGE WIREFRAME</x:v>
      </x:c>
      <x:c r="S43" s="65" t="str">
        <x:v>WF-SD-02 – TO CREATE AFTER SCOPE APPROVAL</x:v>
      </x:c>
      <x:c r="T43" s="65" t="str">
        <x:v>TIDAK DITEMUKAN DI WEBSITE</x:v>
      </x:c>
      <x:c r="U43" s="65" t="str">
        <x:v>BLOCKED – CONTENT DEPENDENCIES</x:v>
      </x:c>
      <x:c r="V43" s="65" t="str">
        <x:v>BACKLOG – PLACEHOLDER</x:v>
      </x:c>
      <x:c r="W43" s="65" t="str">
        <x:v>Ajukan Review Awal</x:v>
      </x:c>
      <x:c r="X43" s="65" t="str">
        <x:v>Contact</x:v>
      </x:c>
      <x:c r="Y43" s="66" t="str">
        <x:v>NOT REVIEWED</x:v>
      </x:c>
      <x:c r="Z43" s="66" t="str">
        <x:v>NOT APPROVED</x:v>
      </x:c>
      <x:c r="AA43" s="65" t="str">
        <x:v>03_Content_ID::SD2-001; NO ROUTE OR COMPONENT; REF-DOC-001</x:v>
      </x:c>
      <x:c r="AB43" s="66" t="str">
        <x:f>IF(COUNTIF($A$5:$A$50,A43)&lt;&gt;1,"FAIL – DUPLICATE MAPPING ID",IF(COUNTIF($C$5:$C$50,C43)&lt;&gt;1,"FAIL – DUPLICATE CONTENT ID",IF(COUNTA(A43:AA43)&lt;27,"INCOMPLETE","PASS – STRUCTURE")))</x:f>
        <x:v>PASS – STRUCTURE</x:v>
      </x:c>
      <x:c r="AC43" s="66" t="str">
        <x:f>IF(B43="WEBSITE-ONLY","OPEN – DOCUMENT DECISION REQUIRED",IF(LEFT(U43,5)&lt;&gt;"READY","BLOCKED – COPY/DEPENDENCY",IF(OR(LEFT(N43,7)="PARTIAL",LEFT(N43,15)="NOT IMPLEMENTED"),"DRAFT MAPPING – GAP OPEN","DRAFT MAPPING – READY FOR UI/UX REVIEW")))</x:f>
        <x:v>BLOCKED – COPY/DEPENDENCY</x:v>
      </x:c>
      <x:c r="AD43" s="65" t="str"/>
      <x:c r="AE43" s="65" t="str"/>
    </x:row>
    <x:row r="44" ht="58.5" customHeight="1">
      <x:c r="A44" s="66" t="str">
        <x:v>MAP-040</x:v>
      </x:c>
      <x:c r="B44" s="66" t="str">
        <x:v>CONTENT BLOCK</x:v>
      </x:c>
      <x:c r="C44" s="66" t="str">
        <x:v>SD3-001</x:v>
      </x:c>
      <x:c r="D44" s="66" t="str">
        <x:v>Service Detail — Kepatuhan &amp; Legal Advisory</x:v>
      </x:c>
      <x:c r="E44" s="66" t="str">
        <x:v>BACKLOG</x:v>
      </x:c>
      <x:c r="F44" s="66" t="str">
        <x:v>ID + EN</x:v>
      </x:c>
      <x:c r="G44" s="66" t="str">
        <x:v>BACKLOG – ROUTE NOT DEFINED</x:v>
      </x:c>
      <x:c r="H44" s="66" t="n">
        <x:v>1</x:v>
      </x:c>
      <x:c r="I44" s="65" t="str">
        <x:v>Hero + scope template</x:v>
      </x:c>
      <x:c r="J44" s="65" t="str">
        <x:v>Service Detail</x:v>
      </x:c>
      <x:c r="K44" s="65" t="str">
        <x:v>Hero + scope template</x:v>
      </x:c>
      <x:c r="L44" s="65" t="str">
        <x:v>Tinjau kepatuhan sepanjang permit lifecycle.</x:v>
      </x:c>
      <x:c r="M44" s="65" t="str">
        <x:v>NO ROUTE OR COMPONENT</x:v>
      </x:c>
      <x:c r="N44" s="65" t="str">
        <x:v>NOT IMPLEMENTED – ROUTE MISSING</x:v>
      </x:c>
      <x:c r="O44" s="65" t="str">
        <x:v>N/A – MEDIA UNDECIDED</x:v>
      </x:c>
      <x:c r="P44" s="65" t="str">
        <x:v>REF-DOC-001</x:v>
      </x:c>
      <x:c r="Q44" s="65" t="str">
        <x:v>Retainer, SOP, reviewer model, and exclusions must be approved first.</x:v>
      </x:c>
      <x:c r="R44" s="65" t="str">
        <x:v>YES – FULL PAGE WIREFRAME</x:v>
      </x:c>
      <x:c r="S44" s="65" t="str">
        <x:v>WF-SD-03 – TO CREATE AFTER SCOPE APPROVAL</x:v>
      </x:c>
      <x:c r="T44" s="65" t="str">
        <x:v>TIDAK DITEMUKAN DI WEBSITE</x:v>
      </x:c>
      <x:c r="U44" s="65" t="str">
        <x:v>BLOCKED – CONTENT DEPENDENCIES</x:v>
      </x:c>
      <x:c r="V44" s="65" t="str">
        <x:v>BACKLOG – PLACEHOLDER</x:v>
      </x:c>
      <x:c r="W44" s="65" t="str">
        <x:v>Ajukan Review Awal</x:v>
      </x:c>
      <x:c r="X44" s="65" t="str">
        <x:v>Contact</x:v>
      </x:c>
      <x:c r="Y44" s="66" t="str">
        <x:v>NOT REVIEWED</x:v>
      </x:c>
      <x:c r="Z44" s="66" t="str">
        <x:v>NOT APPROVED</x:v>
      </x:c>
      <x:c r="AA44" s="65" t="str">
        <x:v>03_Content_ID::SD3-001; NO ROUTE OR COMPONENT; REF-DOC-001</x:v>
      </x:c>
      <x:c r="AB44" s="66" t="str">
        <x:f>IF(COUNTIF($A$5:$A$50,A44)&lt;&gt;1,"FAIL – DUPLICATE MAPPING ID",IF(COUNTIF($C$5:$C$50,C44)&lt;&gt;1,"FAIL – DUPLICATE CONTENT ID",IF(COUNTA(A44:AA44)&lt;27,"INCOMPLETE","PASS – STRUCTURE")))</x:f>
        <x:v>PASS – STRUCTURE</x:v>
      </x:c>
      <x:c r="AC44" s="66" t="str">
        <x:f>IF(B44="WEBSITE-ONLY","OPEN – DOCUMENT DECISION REQUIRED",IF(LEFT(U44,5)&lt;&gt;"READY","BLOCKED – COPY/DEPENDENCY",IF(OR(LEFT(N44,7)="PARTIAL",LEFT(N44,15)="NOT IMPLEMENTED"),"DRAFT MAPPING – GAP OPEN","DRAFT MAPPING – READY FOR UI/UX REVIEW")))</x:f>
        <x:v>BLOCKED – COPY/DEPENDENCY</x:v>
      </x:c>
      <x:c r="AD44" s="65" t="str"/>
      <x:c r="AE44" s="65" t="str"/>
    </x:row>
    <x:row r="45" ht="58.5" customHeight="1">
      <x:c r="A45" s="66" t="str">
        <x:v>MAP-041</x:v>
      </x:c>
      <x:c r="B45" s="66" t="str">
        <x:v>CONTENT BLOCK</x:v>
      </x:c>
      <x:c r="C45" s="66" t="str">
        <x:v>SD4-001</x:v>
      </x:c>
      <x:c r="D45" s="66" t="str">
        <x:v>Service Detail — Perizinan Proyek &amp; Investasi</x:v>
      </x:c>
      <x:c r="E45" s="66" t="str">
        <x:v>BACKLOG</x:v>
      </x:c>
      <x:c r="F45" s="66" t="str">
        <x:v>ID + EN</x:v>
      </x:c>
      <x:c r="G45" s="66" t="str">
        <x:v>BACKLOG – ROUTE NOT DEFINED</x:v>
      </x:c>
      <x:c r="H45" s="66" t="n">
        <x:v>1</x:v>
      </x:c>
      <x:c r="I45" s="65" t="str">
        <x:v>Hero + scope template</x:v>
      </x:c>
      <x:c r="J45" s="65" t="str">
        <x:v>Service Detail</x:v>
      </x:c>
      <x:c r="K45" s="65" t="str">
        <x:v>Hero + scope template</x:v>
      </x:c>
      <x:c r="L45" s="65" t="str">
        <x:v>Susun jalur izin untuk ekspansi, proyek, dan investasi.</x:v>
      </x:c>
      <x:c r="M45" s="65" t="str">
        <x:v>NO ROUTE OR COMPONENT</x:v>
      </x:c>
      <x:c r="N45" s="65" t="str">
        <x:v>NOT IMPLEMENTED – ROUTE MISSING</x:v>
      </x:c>
      <x:c r="O45" s="65" t="str">
        <x:v>N/A – MEDIA UNDECIDED</x:v>
      </x:c>
      <x:c r="P45" s="65" t="str">
        <x:v>REF-DOC-001</x:v>
      </x:c>
      <x:c r="Q45" s="65" t="str">
        <x:v>Project examples, sector boundaries, and dependencies must be approved first.</x:v>
      </x:c>
      <x:c r="R45" s="65" t="str">
        <x:v>YES – FULL PAGE WIREFRAME</x:v>
      </x:c>
      <x:c r="S45" s="65" t="str">
        <x:v>WF-SD-04 – TO CREATE AFTER SCOPE APPROVAL</x:v>
      </x:c>
      <x:c r="T45" s="65" t="str">
        <x:v>TIDAK DITEMUKAN DI WEBSITE</x:v>
      </x:c>
      <x:c r="U45" s="65" t="str">
        <x:v>BLOCKED – CONTENT DEPENDENCIES</x:v>
      </x:c>
      <x:c r="V45" s="65" t="str">
        <x:v>BACKLOG – PLACEHOLDER</x:v>
      </x:c>
      <x:c r="W45" s="65" t="str">
        <x:v>Ajukan Review Awal</x:v>
      </x:c>
      <x:c r="X45" s="65" t="str">
        <x:v>Contact</x:v>
      </x:c>
      <x:c r="Y45" s="66" t="str">
        <x:v>NOT REVIEWED</x:v>
      </x:c>
      <x:c r="Z45" s="66" t="str">
        <x:v>NOT APPROVED</x:v>
      </x:c>
      <x:c r="AA45" s="65" t="str">
        <x:v>03_Content_ID::SD4-001; NO ROUTE OR COMPONENT; REF-DOC-001</x:v>
      </x:c>
      <x:c r="AB45" s="66" t="str">
        <x:f>IF(COUNTIF($A$5:$A$50,A45)&lt;&gt;1,"FAIL – DUPLICATE MAPPING ID",IF(COUNTIF($C$5:$C$50,C45)&lt;&gt;1,"FAIL – DUPLICATE CONTENT ID",IF(COUNTA(A45:AA45)&lt;27,"INCOMPLETE","PASS – STRUCTURE")))</x:f>
        <x:v>PASS – STRUCTURE</x:v>
      </x:c>
      <x:c r="AC45" s="66" t="str">
        <x:f>IF(B45="WEBSITE-ONLY","OPEN – DOCUMENT DECISION REQUIRED",IF(LEFT(U45,5)&lt;&gt;"READY","BLOCKED – COPY/DEPENDENCY",IF(OR(LEFT(N45,7)="PARTIAL",LEFT(N45,15)="NOT IMPLEMENTED"),"DRAFT MAPPING – GAP OPEN","DRAFT MAPPING – READY FOR UI/UX REVIEW")))</x:f>
        <x:v>BLOCKED – COPY/DEPENDENCY</x:v>
      </x:c>
      <x:c r="AD45" s="65" t="str"/>
      <x:c r="AE45" s="65" t="str"/>
    </x:row>
    <x:row r="46" ht="58.5" customHeight="1">
      <x:c r="A46" s="66" t="str">
        <x:v>MAP-042</x:v>
      </x:c>
      <x:c r="B46" s="66" t="str">
        <x:v>CONTENT BLOCK</x:v>
      </x:c>
      <x:c r="C46" s="66" t="str">
        <x:v>FAQ-001</x:v>
      </x:c>
      <x:c r="D46" s="66" t="str">
        <x:v>FAQ</x:v>
      </x:c>
      <x:c r="E46" s="66" t="str">
        <x:v>BACKLOG</x:v>
      </x:c>
      <x:c r="F46" s="66" t="str">
        <x:v>ID + EN</x:v>
      </x:c>
      <x:c r="G46" s="66" t="str">
        <x:v>BACKLOG – ROUTE NOT DEFINED</x:v>
      </x:c>
      <x:c r="H46" s="66" t="n">
        <x:v>1</x:v>
      </x:c>
      <x:c r="I46" s="65" t="str">
        <x:v>FAQ framework</x:v>
      </x:c>
      <x:c r="J46" s="65" t="str">
        <x:v>FAQ</x:v>
      </x:c>
      <x:c r="K46" s="65" t="str">
        <x:v>Expandable question framework</x:v>
      </x:c>
      <x:c r="L46" s="65" t="str">
        <x:v>Pertanyaan umum sebelum memulai.</x:v>
      </x:c>
      <x:c r="M46" s="65" t="str">
        <x:v>NO ROUTE OR COMPONENT</x:v>
      </x:c>
      <x:c r="N46" s="65" t="str">
        <x:v>NOT IMPLEMENTED – ROUTE/ANSWERS MISSING</x:v>
      </x:c>
      <x:c r="O46" s="65" t="str">
        <x:v>N/A – NO MEDIA REQUIRED</x:v>
      </x:c>
      <x:c r="P46" s="65" t="str">
        <x:v>REF-DOC-002</x:v>
      </x:c>
      <x:c r="Q46" s="65" t="str">
        <x:v>Questions exist; legal/operational answers do not.</x:v>
      </x:c>
      <x:c r="R46" s="65" t="str">
        <x:v>YES – PAGE/COMPONENT WIREFRAME</x:v>
      </x:c>
      <x:c r="S46" s="65" t="str">
        <x:v>WF-FAQ-01 – TO CREATE AFTER ANSWER REVIEW</x:v>
      </x:c>
      <x:c r="T46" s="65" t="str">
        <x:v>TIDAK DITEMUKAN DI WEBSITE</x:v>
      </x:c>
      <x:c r="U46" s="65" t="str">
        <x:v>BLOCKED – REVIEW REQUIRED</x:v>
      </x:c>
      <x:c r="V46" s="65" t="str">
        <x:v>BACKLOG – QUESTIONS ONLY</x:v>
      </x:c>
      <x:c r="W46" s="65" t="str">
        <x:v>Ajukan Pertanyaan Spesifik</x:v>
      </x:c>
      <x:c r="X46" s="65" t="str">
        <x:v>Contact</x:v>
      </x:c>
      <x:c r="Y46" s="66" t="str">
        <x:v>NOT REVIEWED</x:v>
      </x:c>
      <x:c r="Z46" s="66" t="str">
        <x:v>NOT APPROVED</x:v>
      </x:c>
      <x:c r="AA46" s="65" t="str">
        <x:v>03_Content_ID::FAQ-001; NO ROUTE OR COMPONENT; REF-DOC-002</x:v>
      </x:c>
      <x:c r="AB46" s="66" t="str">
        <x:f>IF(COUNTIF($A$5:$A$50,A46)&lt;&gt;1,"FAIL – DUPLICATE MAPPING ID",IF(COUNTIF($C$5:$C$50,C46)&lt;&gt;1,"FAIL – DUPLICATE CONTENT ID",IF(COUNTA(A46:AA46)&lt;27,"INCOMPLETE","PASS – STRUCTURE")))</x:f>
        <x:v>PASS – STRUCTURE</x:v>
      </x:c>
      <x:c r="AC46" s="66" t="str">
        <x:f>IF(B46="WEBSITE-ONLY","OPEN – DOCUMENT DECISION REQUIRED",IF(LEFT(U46,5)&lt;&gt;"READY","BLOCKED – COPY/DEPENDENCY",IF(OR(LEFT(N46,7)="PARTIAL",LEFT(N46,15)="NOT IMPLEMENTED"),"DRAFT MAPPING – GAP OPEN","DRAFT MAPPING – READY FOR UI/UX REVIEW")))</x:f>
        <x:v>BLOCKED – COPY/DEPENDENCY</x:v>
      </x:c>
      <x:c r="AD46" s="65" t="str"/>
      <x:c r="AE46" s="65" t="str"/>
    </x:row>
    <x:row r="47" ht="58.5" customHeight="1">
      <x:c r="A47" s="66" t="str">
        <x:v>MAP-043</x:v>
      </x:c>
      <x:c r="B47" s="66" t="str">
        <x:v>CONTENT BLOCK</x:v>
      </x:c>
      <x:c r="C47" s="66" t="str">
        <x:v>PRIV-001</x:v>
      </x:c>
      <x:c r="D47" s="66" t="str">
        <x:v>Privacy Policy</x:v>
      </x:c>
      <x:c r="E47" s="66" t="str">
        <x:v>BACKLOG / LAUNCH BLOCKER</x:v>
      </x:c>
      <x:c r="F47" s="66" t="str">
        <x:v>ID + EN</x:v>
      </x:c>
      <x:c r="G47" s="66" t="str">
        <x:v>BACKLOG – ROUTE NOT DEFINED</x:v>
      </x:c>
      <x:c r="H47" s="66" t="n">
        <x:v>1</x:v>
      </x:c>
      <x:c r="I47" s="65" t="str">
        <x:v>Policy gate</x:v>
      </x:c>
      <x:c r="J47" s="65" t="str">
        <x:v>Policy</x:v>
      </x:c>
      <x:c r="K47" s="65" t="str">
        <x:v>Privacy policy gate</x:v>
      </x:c>
      <x:c r="L47" s="65" t="str">
        <x:v>Privacy Policy — belum tersedia.</x:v>
      </x:c>
      <x:c r="M47" s="65" t="str">
        <x:v>NO ROUTE OR CONTENT</x:v>
      </x:c>
      <x:c r="N47" s="65" t="str">
        <x:v>NOT IMPLEMENTED – LAUNCH BLOCKER</x:v>
      </x:c>
      <x:c r="O47" s="65" t="str">
        <x:v>N/A – NO MEDIA REQUIRED</x:v>
      </x:c>
      <x:c r="P47" s="65" t="str">
        <x:v>REF-DOC-002</x:v>
      </x:c>
      <x:c r="Q47" s="65" t="str">
        <x:v>Do not invent processing facts. Confirm actual data flow, controller/contact, retention, third parties, and user rights.</x:v>
      </x:c>
      <x:c r="R47" s="65" t="str">
        <x:v>YES – LEGAL PAGE TEMPLATE AFTER APPROVAL</x:v>
      </x:c>
      <x:c r="S47" s="65" t="str">
        <x:v>WF-PRIV-01 – AFTER LEGAL DRAFT</x:v>
      </x:c>
      <x:c r="T47" s="65" t="str">
        <x:v>TIDAK BOLEH TAYANG</x:v>
      </x:c>
      <x:c r="U47" s="65" t="str">
        <x:v>BLOCKED – LAUNCH BLOCKER</x:v>
      </x:c>
      <x:c r="V47" s="65" t="str">
        <x:v>TIDAK BOLEH TAYANG</x:v>
      </x:c>
      <x:c r="W47" s="65" t="str">
        <x:v>—</x:v>
      </x:c>
      <x:c r="X47" s="65" t="str">
        <x:v>—</x:v>
      </x:c>
      <x:c r="Y47" s="66" t="str">
        <x:v>NOT REVIEWED</x:v>
      </x:c>
      <x:c r="Z47" s="66" t="str">
        <x:v>NOT APPROVED</x:v>
      </x:c>
      <x:c r="AA47" s="65" t="str">
        <x:v>03_Content_ID::PRIV-001; NO ROUTE OR CONTENT; REF-DOC-002</x:v>
      </x:c>
      <x:c r="AB47" s="66" t="str">
        <x:f>IF(COUNTIF($A$5:$A$50,A47)&lt;&gt;1,"FAIL – DUPLICATE MAPPING ID",IF(COUNTIF($C$5:$C$50,C47)&lt;&gt;1,"FAIL – DUPLICATE CONTENT ID",IF(COUNTA(A47:AA47)&lt;27,"INCOMPLETE","PASS – STRUCTURE")))</x:f>
        <x:v>PASS – STRUCTURE</x:v>
      </x:c>
      <x:c r="AC47" s="66" t="str">
        <x:f>IF(B47="WEBSITE-ONLY","OPEN – DOCUMENT DECISION REQUIRED",IF(LEFT(U47,5)&lt;&gt;"READY","BLOCKED – COPY/DEPENDENCY",IF(OR(LEFT(N47,7)="PARTIAL",LEFT(N47,15)="NOT IMPLEMENTED"),"DRAFT MAPPING – GAP OPEN","DRAFT MAPPING – READY FOR UI/UX REVIEW")))</x:f>
        <x:v>BLOCKED – COPY/DEPENDENCY</x:v>
      </x:c>
      <x:c r="AD47" s="65" t="str"/>
      <x:c r="AE47" s="65" t="str"/>
    </x:row>
    <x:row r="48" ht="58.5" customHeight="1">
      <x:c r="A48" s="66" t="str">
        <x:v>MAP-044</x:v>
      </x:c>
      <x:c r="B48" s="66" t="str">
        <x:v>CONTENT BLOCK</x:v>
      </x:c>
      <x:c r="C48" s="66" t="str">
        <x:v>TERM-001</x:v>
      </x:c>
      <x:c r="D48" s="66" t="str">
        <x:v>Terms &amp; Disclaimer</x:v>
      </x:c>
      <x:c r="E48" s="66" t="str">
        <x:v>BACKLOG / LAUNCH BLOCKER</x:v>
      </x:c>
      <x:c r="F48" s="66" t="str">
        <x:v>ID + EN</x:v>
      </x:c>
      <x:c r="G48" s="66" t="str">
        <x:v>BACKLOG – ROUTE NOT DEFINED</x:v>
      </x:c>
      <x:c r="H48" s="66" t="n">
        <x:v>1</x:v>
      </x:c>
      <x:c r="I48" s="65" t="str">
        <x:v>Terms gate</x:v>
      </x:c>
      <x:c r="J48" s="65" t="str">
        <x:v>Policy</x:v>
      </x:c>
      <x:c r="K48" s="65" t="str">
        <x:v>Terms and disclaimer gate</x:v>
      </x:c>
      <x:c r="L48" s="65" t="str">
        <x:v>Terms &amp; Disclaimer — belum tersedia.</x:v>
      </x:c>
      <x:c r="M48" s="65" t="str">
        <x:v>NO ROUTE OR CONTENT</x:v>
      </x:c>
      <x:c r="N48" s="65" t="str">
        <x:v>NOT IMPLEMENTED – LAUNCH BLOCKER</x:v>
      </x:c>
      <x:c r="O48" s="65" t="str">
        <x:v>N/A – NO MEDIA REQUIRED</x:v>
      </x:c>
      <x:c r="P48" s="65" t="str">
        <x:v>REF-DOC-002</x:v>
      </x:c>
      <x:c r="Q48" s="65" t="str">
        <x:v>Do not invent governing terms, liability boundary, jurisdiction, or no-client-relationship language.</x:v>
      </x:c>
      <x:c r="R48" s="65" t="str">
        <x:v>YES – LEGAL PAGE TEMPLATE AFTER APPROVAL</x:v>
      </x:c>
      <x:c r="S48" s="65" t="str">
        <x:v>WF-TERM-01 – AFTER LEGAL DRAFT</x:v>
      </x:c>
      <x:c r="T48" s="65" t="str">
        <x:v>TIDAK BOLEH TAYANG</x:v>
      </x:c>
      <x:c r="U48" s="65" t="str">
        <x:v>BLOCKED – LAUNCH BLOCKER</x:v>
      </x:c>
      <x:c r="V48" s="65" t="str">
        <x:v>TIDAK BOLEH TAYANG</x:v>
      </x:c>
      <x:c r="W48" s="65" t="str">
        <x:v>—</x:v>
      </x:c>
      <x:c r="X48" s="65" t="str">
        <x:v>—</x:v>
      </x:c>
      <x:c r="Y48" s="66" t="str">
        <x:v>NOT REVIEWED</x:v>
      </x:c>
      <x:c r="Z48" s="66" t="str">
        <x:v>NOT APPROVED</x:v>
      </x:c>
      <x:c r="AA48" s="65" t="str">
        <x:v>03_Content_ID::TERM-001; NO ROUTE OR CONTENT; REF-DOC-002</x:v>
      </x:c>
      <x:c r="AB48" s="66" t="str">
        <x:f>IF(COUNTIF($A$5:$A$50,A48)&lt;&gt;1,"FAIL – DUPLICATE MAPPING ID",IF(COUNTIF($C$5:$C$50,C48)&lt;&gt;1,"FAIL – DUPLICATE CONTENT ID",IF(COUNTA(A48:AA48)&lt;27,"INCOMPLETE","PASS – STRUCTURE")))</x:f>
        <x:v>PASS – STRUCTURE</x:v>
      </x:c>
      <x:c r="AC48" s="66" t="str">
        <x:f>IF(B48="WEBSITE-ONLY","OPEN – DOCUMENT DECISION REQUIRED",IF(LEFT(U48,5)&lt;&gt;"READY","BLOCKED – COPY/DEPENDENCY",IF(OR(LEFT(N48,7)="PARTIAL",LEFT(N48,15)="NOT IMPLEMENTED"),"DRAFT MAPPING – GAP OPEN","DRAFT MAPPING – READY FOR UI/UX REVIEW")))</x:f>
        <x:v>BLOCKED – COPY/DEPENDENCY</x:v>
      </x:c>
      <x:c r="AD48" s="65" t="str"/>
      <x:c r="AE48" s="65" t="str"/>
    </x:row>
    <x:row r="49" ht="58.5" customHeight="1">
      <x:c r="A49" s="66" t="str">
        <x:v>MAP-W01</x:v>
      </x:c>
      <x:c r="B49" s="66" t="str">
        <x:v>WEBSITE-ONLY</x:v>
      </x:c>
      <x:c r="C49" s="66" t="str">
        <x:v>WEB-H-001</x:v>
      </x:c>
      <x:c r="D49" s="66" t="str">
        <x:v>Home</x:v>
      </x:c>
      <x:c r="E49" s="66" t="str">
        <x:v>CURRENT PROTOTYPE</x:v>
      </x:c>
      <x:c r="F49" s="66" t="str">
        <x:v>ID + EN</x:v>
      </x:c>
      <x:c r="G49" s="66" t="str">
        <x:v>/{locale}/</x:v>
      </x:c>
      <x:c r="H49" s="66" t="str">
        <x:v>2A</x:v>
      </x:c>
      <x:c r="I49" s="65" t="str">
        <x:v>Client register</x:v>
      </x:c>
      <x:c r="J49" s="65" t="str">
        <x:v>Credibility</x:v>
      </x:c>
      <x:c r="K49" s="65" t="str">
        <x:v>Six dummy client marks</x:v>
      </x:c>
      <x:c r="L49" s="65" t="str">
        <x:v>Dummy client register</x:v>
      </x:c>
      <x:c r="M49" s="65" t="str">
        <x:v>src/components/home/ClientRegister.astro; src/data/home.ts</x:v>
      </x:c>
      <x:c r="N49" s="65" t="str">
        <x:v>PROTOTYPE – DUMMY CLIENT MARKS</x:v>
      </x:c>
      <x:c r="O49" s="65" t="str">
        <x:v>N/A – TYPOGRAPHIC MARKS</x:v>
      </x:c>
      <x:c r="P49" s="65" t="str">
        <x:v>REF-CODE-004</x:v>
      </x:c>
      <x:c r="Q49" s="65" t="str">
        <x:v>Implemented after the Home hero but absent from the 44 content-block sheet. Real client identity requires written publication consent.</x:v>
      </x:c>
      <x:c r="R49" s="65" t="str">
        <x:v>NO – EXISTING PROTOTYPE REFERENCE</x:v>
      </x:c>
      <x:c r="S49" s="65" t="str">
        <x:v>EXISTING UI – CLIENT REGISTER</x:v>
      </x:c>
      <x:c r="T49" s="65" t="str">
        <x:v>DITEMUKAN DI WEBSITE TETAPI BELUM ADA DI DOKUMEN</x:v>
      </x:c>
      <x:c r="U49" s="65" t="str">
        <x:v>BLOCKED – CONSENT/EVIDENCE</x:v>
      </x:c>
      <x:c r="V49" s="65" t="str">
        <x:v>PLACEHOLDER – STAGING ONLY</x:v>
      </x:c>
      <x:c r="W49" s="65" t="str">
        <x:v>—</x:v>
      </x:c>
      <x:c r="X49" s="65" t="str">
        <x:v>—</x:v>
      </x:c>
      <x:c r="Y49" s="66" t="str">
        <x:v>NOT REVIEWED</x:v>
      </x:c>
      <x:c r="Z49" s="66" t="str">
        <x:v>NOT APPROVED</x:v>
      </x:c>
      <x:c r="AA49" s="65" t="str">
        <x:v>src/components/home/ClientRegister.astro; src/data/home.ts; docs/PAGE_SPECIFICATIONS.md</x:v>
      </x:c>
      <x:c r="AB49" s="66" t="str">
        <x:f>IF(COUNTIF($A$5:$A$50,A49)&lt;&gt;1,"FAIL – DUPLICATE MAPPING ID",IF(COUNTIF($C$5:$C$50,C49)&lt;&gt;1,"FAIL – DUPLICATE CONTENT ID",IF(COUNTA(A49:AA49)&lt;27,"INCOMPLETE","PASS – STRUCTURE")))</x:f>
        <x:v>PASS – STRUCTURE</x:v>
      </x:c>
      <x:c r="AC49" s="66" t="str">
        <x:f>IF(B49="WEBSITE-ONLY","OPEN – DOCUMENT DECISION REQUIRED",IF(LEFT(U49,5)&lt;&gt;"READY","BLOCKED – COPY/DEPENDENCY",IF(OR(LEFT(N49,7)="PARTIAL",LEFT(N49,15)="NOT IMPLEMENTED"),"DRAFT MAPPING – GAP OPEN","DRAFT MAPPING – READY FOR UI/UX REVIEW")))</x:f>
        <x:v>OPEN – DOCUMENT DECISION REQUIRED</x:v>
      </x:c>
      <x:c r="AD49" s="65" t="str"/>
      <x:c r="AE49" s="65" t="str"/>
    </x:row>
    <x:row r="50" ht="58.5" customHeight="1">
      <x:c r="A50" s="66" t="str">
        <x:v>MAP-W02</x:v>
      </x:c>
      <x:c r="B50" s="66" t="str">
        <x:v>WEBSITE-ONLY</x:v>
      </x:c>
      <x:c r="C50" s="66" t="str">
        <x:v>WEB-H-002</x:v>
      </x:c>
      <x:c r="D50" s="66" t="str">
        <x:v>Home</x:v>
      </x:c>
      <x:c r="E50" s="66" t="str">
        <x:v>CURRENT PROTOTYPE</x:v>
      </x:c>
      <x:c r="F50" s="66" t="str">
        <x:v>ID + EN</x:v>
      </x:c>
      <x:c r="G50" s="66" t="str">
        <x:v>/{locale}/</x:v>
      </x:c>
      <x:c r="H50" s="66" t="str">
        <x:v>7A</x:v>
      </x:c>
      <x:c r="I50" s="65" t="str">
        <x:v>Company video placeholder</x:v>
      </x:c>
      <x:c r="J50" s="65" t="str">
        <x:v>Brand / Media</x:v>
      </x:c>
      <x:c r="K50" s="65" t="str">
        <x:v>Art-directed non-interactive film placeholder</x:v>
      </x:c>
      <x:c r="L50" s="65" t="str">
        <x:v>Company film placeholder</x:v>
      </x:c>
      <x:c r="M50" s="65" t="str">
        <x:v>src/components/home/CompanyVideo.astro</x:v>
      </x:c>
      <x:c r="N50" s="65" t="str">
        <x:v>PROTOTYPE – NON-FUNCTIONAL MEDIA PLACEHOLDER</x:v>
      </x:c>
      <x:c r="O50" s="65" t="str">
        <x:v>AST-001</x:v>
      </x:c>
      <x:c r="P50" s="65" t="str">
        <x:v>REF-CODE-008</x:v>
      </x:c>
      <x:c r="Q50" s="65" t="str">
        <x:v>Implemented between process and experience; absent from the 44 content-block sheet. It intentionally exposes no fake play control.</x:v>
      </x:c>
      <x:c r="R50" s="65" t="str">
        <x:v>NO – EXISTING PROTOTYPE REFERENCE</x:v>
      </x:c>
      <x:c r="S50" s="65" t="str">
        <x:v>EXISTING UI – COMPANY VIDEO</x:v>
      </x:c>
      <x:c r="T50" s="65" t="str">
        <x:v>DITEMUKAN DI WEBSITE TETAPI BELUM ADA DI DOKUMEN</x:v>
      </x:c>
      <x:c r="U50" s="65" t="str">
        <x:v>BLOCKED – MEDIA/CONTENT DECISION</x:v>
      </x:c>
      <x:c r="V50" s="65" t="str">
        <x:v>PLACEHOLDER – STAGING ONLY</x:v>
      </x:c>
      <x:c r="W50" s="65" t="str">
        <x:v>—</x:v>
      </x:c>
      <x:c r="X50" s="65" t="str">
        <x:v>—</x:v>
      </x:c>
      <x:c r="Y50" s="66" t="str">
        <x:v>NOT REVIEWED</x:v>
      </x:c>
      <x:c r="Z50" s="66" t="str">
        <x:v>NOT APPROVED</x:v>
      </x:c>
      <x:c r="AA50" s="65" t="str">
        <x:v>src/components/home/CompanyVideo.astro; docs/PAGE_SPECIFICATIONS.md</x:v>
      </x:c>
      <x:c r="AB50" s="66" t="str">
        <x:f>IF(COUNTIF($A$5:$A$50,A50)&lt;&gt;1,"FAIL – DUPLICATE MAPPING ID",IF(COUNTIF($C$5:$C$50,C50)&lt;&gt;1,"FAIL – DUPLICATE CONTENT ID",IF(COUNTA(A50:AA50)&lt;27,"INCOMPLETE","PASS – STRUCTURE")))</x:f>
        <x:v>PASS – STRUCTURE</x:v>
      </x:c>
      <x:c r="AC50" s="66" t="str">
        <x:f>IF(B50="WEBSITE-ONLY","OPEN – DOCUMENT DECISION REQUIRED",IF(LEFT(U50,5)&lt;&gt;"READY","BLOCKED – COPY/DEPENDENCY",IF(OR(LEFT(N50,7)="PARTIAL",LEFT(N50,15)="NOT IMPLEMENTED"),"DRAFT MAPPING – GAP OPEN","DRAFT MAPPING – READY FOR UI/UX REVIEW")))</x:f>
        <x:v>OPEN – DOCUMENT DECISION REQUIRED</x:v>
      </x:c>
      <x:c r="AD50" s="65" t="str"/>
      <x:c r="AE50" s="65" t="str"/>
    </x:row>
  </x:sheetData>
  <x:mergeCells>
    <x:mergeCell ref="A1:AE1"/>
  </x:mergeCells>
  <x:conditionalFormatting sqref="N5:N50">
    <x:cfRule type="containsText" dxfId="20" priority="1" operator="containsText" text="NOT IMPLEMENTED"/>
    <x:cfRule type="containsText" dxfId="21" priority="2" operator="containsText" text="PROTOTYPE"/>
  </x:conditionalFormatting>
  <x:conditionalFormatting sqref="U5:U50">
    <x:cfRule type="containsText" dxfId="22" priority="3" operator="containsText" text="READY FOR CONTENT APPROVAL"/>
    <x:cfRule type="containsText" dxfId="23" priority="4" operator="containsText" text="BLOCKED"/>
  </x:conditionalFormatting>
  <x:conditionalFormatting sqref="AB5:AB50">
    <x:cfRule type="containsText" dxfId="24" priority="5" operator="containsText" text="PASS"/>
  </x:conditionalFormatting>
  <x:conditionalFormatting sqref="AC5:AC50">
    <x:cfRule type="containsText" dxfId="25" priority="6" operator="containsText" text="BLOCKED"/>
    <x:cfRule type="containsText" dxfId="26" priority="7" operator="containsText" text="DRAFT MAPPING"/>
  </x:conditionalFormatting>
  <x:dataValidations count="2">
    <x:dataValidation type="list" sqref="Y5:Y50">
      <x:formula1>"NOT REVIEWED,IN REVIEW,CHANGES REQUIRED,APPROVED"</x:formula1>
    </x:dataValidation>
    <x:dataValidation type="list" sqref="Z5:Z50">
      <x:formula1>"NOT APPROVED,PENDING APPROVAL,APPROVED,REMOVED FROM LAUNCH"</x:formula1>
    </x:dataValidation>
  </x:dataValidations>
  <x:pageMargins left="0.7" right="0.7" top="0.75" bottom="0.75" header="0.3" footer="0.3"/>
  <x:tableParts count="1">
    <x:tablePart xmlns:r="http://schemas.openxmlformats.org/officeDocument/2006/relationships" r:id="R34f08a3d2c2644f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31.25" hidden="0" customWidth="1"/>
    <x:col min="3" max="3" width="8.75" hidden="0" customWidth="1"/>
    <x:col min="4" max="4" width="13.130000114440918" hidden="0" customWidth="1"/>
    <x:col min="5" max="5" width="10" hidden="0" customWidth="1"/>
    <x:col min="6" max="6" width="27.5" hidden="0" customWidth="1"/>
    <x:col min="7" max="7" width="15" hidden="0" customWidth="1"/>
    <x:col min="8" max="8" width="22.5" hidden="0" customWidth="1"/>
    <x:col min="9" max="9" width="25.6299991607666" hidden="0" customWidth="1"/>
    <x:col min="10" max="10" width="26.25" hidden="0" customWidth="1"/>
    <x:col min="11" max="11" width="32.5" hidden="0" customWidth="1"/>
    <x:col min="12" max="12" width="27.5" hidden="0" customWidth="1"/>
    <x:col min="13" max="13" width="18.1299991607666" hidden="0" customWidth="1"/>
    <x:col min="14" max="14" width="29.3799991607666" hidden="0" customWidth="1"/>
    <x:col min="15" max="15" width="14.380000114440918" hidden="0" customWidth="1"/>
    <x:col min="16" max="16" width="12.5" hidden="0" customWidth="1"/>
  </x:cols>
  <x:sheetData>
    <x:row r="1" ht="25.5" customHeight="1">
      <x:c r="A1" s="51" t="str">
        <x:v>ASSET REGISTER / LAUNCH GOVERNANCE</x:v>
      </x:c>
      <x:c r="B1" s="51"/>
      <x:c r="C1" s="51"/>
      <x:c r="D1" s="51"/>
      <x:c r="E1" s="51"/>
      <x:c r="F1" s="51"/>
      <x:c r="G1" s="51"/>
      <x:c r="H1" s="51"/>
      <x:c r="I1" s="51"/>
      <x:c r="J1" s="51"/>
      <x:c r="K1" s="51"/>
      <x:c r="L1" s="51"/>
      <x:c r="M1" s="51"/>
      <x:c r="N1" s="51"/>
      <x:c r="O1" s="51"/>
      <x:c r="P1" s="51"/>
    </x:row>
    <x:row r="2" ht="18.75" customHeight="1">
      <x:c r="A2" s="90" t="str">
        <x:v>Complete inventory of 18 raster/vector assets found in the current codebase, including dimensions, usage, placeholder status, evidence/consent and launch decision.</x:v>
      </x:c>
      <x:c r="B2" s="90"/>
      <x:c r="C2" s="90"/>
      <x:c r="D2" s="90"/>
      <x:c r="E2" s="90"/>
      <x:c r="F2" s="90"/>
      <x:c r="G2" s="90"/>
      <x:c r="H2" s="90"/>
      <x:c r="I2" s="90"/>
      <x:c r="J2" s="90"/>
      <x:c r="K2" s="90"/>
      <x:c r="L2" s="90"/>
      <x:c r="M2" s="90"/>
      <x:c r="N2" s="90"/>
      <x:c r="O2" s="90"/>
      <x:c r="P2" s="90"/>
    </x:row>
    <x:row r="3" ht="21" customHeight="1">
      <x:c r="A3" s="91" t="str">
        <x:v>Dummy, generated, concept, preview and undocumented-rights assets are not company facts. They must not be used as final claims, metadata evidence, or structured-data proof before verification and approval.</x:v>
      </x:c>
      <x:c r="B3" s="91"/>
      <x:c r="C3" s="91"/>
      <x:c r="D3" s="91"/>
      <x:c r="E3" s="91"/>
      <x:c r="F3" s="91"/>
      <x:c r="G3" s="91"/>
      <x:c r="H3" s="91"/>
      <x:c r="I3" s="91"/>
      <x:c r="J3" s="91"/>
      <x:c r="K3" s="91"/>
      <x:c r="L3" s="91"/>
      <x:c r="M3" s="91"/>
      <x:c r="N3" s="91"/>
      <x:c r="O3" s="91"/>
      <x:c r="P3" s="91"/>
    </x:row>
    <x:row r="4" ht="31.5" customHeight="1">
      <x:c r="A4" s="62" t="str">
        <x:v>Asset ID</x:v>
      </x:c>
      <x:c r="B4" s="62" t="str">
        <x:v>File Path</x:v>
      </x:c>
      <x:c r="C4" s="62" t="str">
        <x:v>Format</x:v>
      </x:c>
      <x:c r="D4" s="62" t="str">
        <x:v>Dimensions</x:v>
      </x:c>
      <x:c r="E4" s="62" t="str">
        <x:v>Size KB</x:v>
      </x:c>
      <x:c r="F4" s="62" t="str">
        <x:v>Used By</x:v>
      </x:c>
      <x:c r="G4" s="62" t="str">
        <x:v>Page / Section</x:v>
      </x:c>
      <x:c r="H4" s="62" t="str">
        <x:v>Current Role</x:v>
      </x:c>
      <x:c r="I4" s="62" t="str">
        <x:v>Classification</x:v>
      </x:c>
      <x:c r="J4" s="62" t="str">
        <x:v>Rights / Consent</x:v>
      </x:c>
      <x:c r="K4" s="62" t="str">
        <x:v>Launch Decision</x:v>
      </x:c>
      <x:c r="L4" s="62" t="str">
        <x:v>Alt Text / Copy Source</x:v>
      </x:c>
      <x:c r="M4" s="62" t="str">
        <x:v>Replacement Required</x:v>
      </x:c>
      <x:c r="N4" s="62" t="str">
        <x:v>Source Evidence</x:v>
      </x:c>
      <x:c r="O4" s="62" t="str">
        <x:v>Approval Status</x:v>
      </x:c>
      <x:c r="P4" s="62" t="str">
        <x:v>Register QA</x:v>
      </x:c>
    </x:row>
    <x:row r="5" ht="54" customHeight="1">
      <x:c r="A5" s="66" t="str">
        <x:v>AST-001</x:v>
      </x:c>
      <x:c r="B5" s="66" t="str">
        <x:v>public/assets/gp-logo-brand.png</x:v>
      </x:c>
      <x:c r="C5" s="66" t="str">
        <x:v>PNG</x:v>
      </x:c>
      <x:c r="D5" s="66" t="str">
        <x:v>600 × 413</x:v>
      </x:c>
      <x:c r="E5" s="68" t="n">
        <x:v>151.3</x:v>
      </x:c>
      <x:c r="F5" s="65" t="str">
        <x:v>Header; Footer; schema; company video; regulatory map</x:v>
      </x:c>
      <x:c r="G5" s="65" t="str">
        <x:v>GLOBAL</x:v>
      </x:c>
      <x:c r="H5" s="65" t="str">
        <x:v>Brand mark</x:v>
      </x:c>
      <x:c r="I5" s="65" t="str">
        <x:v>DIPERTAHANKAN – CURRENT MASTER</x:v>
      </x:c>
      <x:c r="J5" s="65" t="str">
        <x:v>Project asset; ownership/source record not included</x:v>
      </x:c>
      <x:c r="K5" s="65" t="str">
        <x:v>KEEP – CURRENT MASTER ASSET</x:v>
      </x:c>
      <x:c r="L5" s="65" t="str">
        <x:v>Logo alt remains decorative where adjacent brand text exists</x:v>
      </x:c>
      <x:c r="M5" s="66" t="str">
        <x:v>NO</x:v>
      </x:c>
      <x:c r="N5" s="66" t="str">
        <x:v>docs/DESIGN_SYSTEM.md; docs/COMPONENT_GUIDELINES.md</x:v>
      </x:c>
      <x:c r="O5" s="66" t="str">
        <x:v>CURRENT PROJECT ASSET</x:v>
      </x:c>
      <x:c r="P5" s="66" t="str">
        <x:f>IF(COUNTA(A5:O5)&lt;15,"INCOMPLETE","PASS")</x:f>
        <x:v>PASS</x:v>
      </x:c>
    </x:row>
    <x:row r="6" ht="54" customHeight="1">
      <x:c r="A6" s="66" t="str">
        <x:v>AST-002</x:v>
      </x:c>
      <x:c r="B6" s="66" t="str">
        <x:v>public/assets/gp-logo-home.png</x:v>
      </x:c>
      <x:c r="C6" s="66" t="str">
        <x:v>PNG</x:v>
      </x:c>
      <x:c r="D6" s="66" t="str">
        <x:v>1784 × 881</x:v>
      </x:c>
      <x:c r="E6" s="68" t="n">
        <x:v>221</x:v>
      </x:c>
      <x:c r="F6" s="65" t="str">
        <x:v>No code usage found</x:v>
      </x:c>
      <x:c r="G6" s="65" t="str">
        <x:v>UNUSED</x:v>
      </x:c>
      <x:c r="H6" s="65" t="str">
        <x:v>Legacy/alternate brand asset</x:v>
      </x:c>
      <x:c r="I6" s="65" t="str">
        <x:v>MENUNGGU VERIFIKASI – UNUSED</x:v>
      </x:c>
      <x:c r="J6" s="65" t="str">
        <x:v>Not documented</x:v>
      </x:c>
      <x:c r="K6" s="65" t="str">
        <x:v>DO NOT USE UNTIL ROLE IS CONFIRMED</x:v>
      </x:c>
      <x:c r="L6" s="65" t="str">
        <x:v>N/A</x:v>
      </x:c>
      <x:c r="M6" s="66" t="str">
        <x:v>YES / ARCHIVE DECISION</x:v>
      </x:c>
      <x:c r="N6" s="66" t="str">
        <x:v>codebase-wide import/path scan</x:v>
      </x:c>
      <x:c r="O6" s="66" t="str">
        <x:v>NOT APPROVED</x:v>
      </x:c>
      <x:c r="P6" s="66" t="str">
        <x:f>IF(COUNTA(A6:O6)&lt;15,"INCOMPLETE","PASS")</x:f>
        <x:v>PASS</x:v>
      </x:c>
    </x:row>
    <x:row r="7" ht="54" customHeight="1">
      <x:c r="A7" s="66" t="str">
        <x:v>AST-003</x:v>
      </x:c>
      <x:c r="B7" s="66" t="str">
        <x:v>public/assets/gp-logo.png</x:v>
      </x:c>
      <x:c r="C7" s="66" t="str">
        <x:v>PNG</x:v>
      </x:c>
      <x:c r="D7" s="66" t="str">
        <x:v>826 × 565</x:v>
      </x:c>
      <x:c r="E7" s="68" t="n">
        <x:v>195</x:v>
      </x:c>
      <x:c r="F7" s="65" t="str">
        <x:v>No code usage found</x:v>
      </x:c>
      <x:c r="G7" s="65" t="str">
        <x:v>UNUSED</x:v>
      </x:c>
      <x:c r="H7" s="65" t="str">
        <x:v>Legacy/alternate brand asset</x:v>
      </x:c>
      <x:c r="I7" s="65" t="str">
        <x:v>MENUNGGU VERIFIKASI – UNUSED</x:v>
      </x:c>
      <x:c r="J7" s="65" t="str">
        <x:v>Not documented</x:v>
      </x:c>
      <x:c r="K7" s="65" t="str">
        <x:v>DO NOT USE UNTIL ROLE IS CONFIRMED</x:v>
      </x:c>
      <x:c r="L7" s="65" t="str">
        <x:v>N/A</x:v>
      </x:c>
      <x:c r="M7" s="66" t="str">
        <x:v>YES / ARCHIVE DECISION</x:v>
      </x:c>
      <x:c r="N7" s="66" t="str">
        <x:v>codebase-wide import/path scan</x:v>
      </x:c>
      <x:c r="O7" s="66" t="str">
        <x:v>NOT APPROVED</x:v>
      </x:c>
      <x:c r="P7" s="66" t="str">
        <x:f>IF(COUNTA(A7:O7)&lt;15,"INCOMPLETE","PASS")</x:f>
        <x:v>PASS</x:v>
      </x:c>
    </x:row>
    <x:row r="8" ht="54" customHeight="1">
      <x:c r="A8" s="66" t="str">
        <x:v>AST-004</x:v>
      </x:c>
      <x:c r="B8" s="66" t="str">
        <x:v>public/favicon.svg</x:v>
      </x:c>
      <x:c r="C8" s="66" t="str">
        <x:v>SVG</x:v>
      </x:c>
      <x:c r="D8" s="66" t="str">
        <x:v>64 × 64</x:v>
      </x:c>
      <x:c r="E8" s="68" t="n">
        <x:v>0.3</x:v>
      </x:c>
      <x:c r="F8" s="65" t="str">
        <x:v>BaseLayout</x:v>
      </x:c>
      <x:c r="G8" s="65" t="str">
        <x:v>GLOBAL</x:v>
      </x:c>
      <x:c r="H8" s="65" t="str">
        <x:v>Favicon</x:v>
      </x:c>
      <x:c r="I8" s="65" t="str">
        <x:v>DIPERTAHANKAN</x:v>
      </x:c>
      <x:c r="J8" s="65" t="str">
        <x:v>Project-generated vector; source record not included</x:v>
      </x:c>
      <x:c r="K8" s="65" t="str">
        <x:v>KEEP – VERIFY FINAL BRAND MATCH</x:v>
      </x:c>
      <x:c r="L8" s="65" t="str">
        <x:v>Decorative browser icon</x:v>
      </x:c>
      <x:c r="M8" s="66" t="str">
        <x:v>NO</x:v>
      </x:c>
      <x:c r="N8" s="66" t="str">
        <x:v>src/layouts/BaseLayout.astro</x:v>
      </x:c>
      <x:c r="O8" s="66" t="str">
        <x:v>PROVISIONAL</x:v>
      </x:c>
      <x:c r="P8" s="66" t="str">
        <x:f>IF(COUNTA(A8:O8)&lt;15,"INCOMPLETE","PASS")</x:f>
        <x:v>PASS</x:v>
      </x:c>
    </x:row>
    <x:row r="9" ht="54" customHeight="1">
      <x:c r="A9" s="66" t="str">
        <x:v>AST-005</x:v>
      </x:c>
      <x:c r="B9" s="66" t="str">
        <x:v>public/og-default.svg</x:v>
      </x:c>
      <x:c r="C9" s="66" t="str">
        <x:v>SVG</x:v>
      </x:c>
      <x:c r="D9" s="66" t="str">
        <x:v>1200 × 630</x:v>
      </x:c>
      <x:c r="E9" s="68" t="n">
        <x:v>0.6</x:v>
      </x:c>
      <x:c r="F9" s="65" t="str">
        <x:v>BaseLayout; 6 preview articles</x:v>
      </x:c>
      <x:c r="G9" s="65" t="str">
        <x:v>GLOBAL / BLOG</x:v>
      </x:c>
      <x:c r="H9" s="65" t="str">
        <x:v>Open Graph / article placeholder</x:v>
      </x:c>
      <x:c r="I9" s="65" t="str">
        <x:v>PLACEHOLDER INTERNAL</x:v>
      </x:c>
      <x:c r="J9" s="65" t="str">
        <x:v>Project-generated vector</x:v>
      </x:c>
      <x:c r="K9" s="65" t="str">
        <x:v>REPLACE OR VALIDATE PLATFORM SUPPORT BEFORE LAUNCH</x:v>
      </x:c>
      <x:c r="L9" s="65" t="str">
        <x:v>Metadata image; no alt field</x:v>
      </x:c>
      <x:c r="M9" s="66" t="str">
        <x:v>YES</x:v>
      </x:c>
      <x:c r="N9" s="66" t="str">
        <x:v>docs/SEO_GUIDELINES.md; src/content/blog/**</x:v>
      </x:c>
      <x:c r="O9" s="66" t="str">
        <x:v>NOT APPROVED</x:v>
      </x:c>
      <x:c r="P9" s="66" t="str">
        <x:f>IF(COUNTA(A9:O9)&lt;15,"INCOMPLETE","PASS")</x:f>
        <x:v>PASS</x:v>
      </x:c>
    </x:row>
    <x:row r="10" ht="54" customHeight="1">
      <x:c r="A10" s="66" t="str">
        <x:v>AST-006</x:v>
      </x:c>
      <x:c r="B10" s="66" t="str">
        <x:v>src/assets/company-carousel-01.webp</x:v>
      </x:c>
      <x:c r="C10" s="66" t="str">
        <x:v>WEBP</x:v>
      </x:c>
      <x:c r="D10" s="66" t="str">
        <x:v>1600 × 965</x:v>
      </x:c>
      <x:c r="E10" s="68" t="n">
        <x:v>64.5</x:v>
      </x:c>
      <x:c r="F10" s="65" t="str">
        <x:v>CompanyGallery</x:v>
      </x:c>
      <x:c r="G10" s="65" t="str">
        <x:v>HOME / PROFILE</x:v>
      </x:c>
      <x:c r="H10" s="65" t="str">
        <x:v>Company gallery image</x:v>
      </x:c>
      <x:c r="I10" s="65" t="str">
        <x:v>MENUNGGU VERIFIKASI</x:v>
      </x:c>
      <x:c r="J10" s="65" t="str">
        <x:v>Source/rights not documented</x:v>
      </x:c>
      <x:c r="K10" s="65" t="str">
        <x:v>VERIFY SOURCE, RIGHTS, AND FINAL ROLE</x:v>
      </x:c>
      <x:c r="L10" s="65" t="str">
        <x:v>Alt copy is set in CompanyGallery</x:v>
      </x:c>
      <x:c r="M10" s="66" t="str">
        <x:v>MAYBE</x:v>
      </x:c>
      <x:c r="N10" s="66" t="str">
        <x:v>src/components/CompanyGallery.astro</x:v>
      </x:c>
      <x:c r="O10" s="66" t="str">
        <x:v>NOT APPROVED</x:v>
      </x:c>
      <x:c r="P10" s="66" t="str">
        <x:f>IF(COUNTA(A10:O10)&lt;15,"INCOMPLETE","PASS")</x:f>
        <x:v>PASS</x:v>
      </x:c>
    </x:row>
    <x:row r="11" ht="54" customHeight="1">
      <x:c r="A11" s="66" t="str">
        <x:v>AST-007</x:v>
      </x:c>
      <x:c r="B11" s="66" t="str">
        <x:v>src/assets/company-carousel-02.webp</x:v>
      </x:c>
      <x:c r="C11" s="66" t="str">
        <x:v>WEBP</x:v>
      </x:c>
      <x:c r="D11" s="66" t="str">
        <x:v>1596 × 985</x:v>
      </x:c>
      <x:c r="E11" s="68" t="n">
        <x:v>68.4</x:v>
      </x:c>
      <x:c r="F11" s="65" t="str">
        <x:v>CompanyGallery</x:v>
      </x:c>
      <x:c r="G11" s="65" t="str">
        <x:v>HOME / PROFILE</x:v>
      </x:c>
      <x:c r="H11" s="65" t="str">
        <x:v>Company gallery image</x:v>
      </x:c>
      <x:c r="I11" s="65" t="str">
        <x:v>MENUNGGU VERIFIKASI</x:v>
      </x:c>
      <x:c r="J11" s="65" t="str">
        <x:v>Source/rights not documented</x:v>
      </x:c>
      <x:c r="K11" s="65" t="str">
        <x:v>VERIFY SOURCE, RIGHTS, AND FINAL ROLE</x:v>
      </x:c>
      <x:c r="L11" s="65" t="str">
        <x:v>Alt copy is set in CompanyGallery</x:v>
      </x:c>
      <x:c r="M11" s="66" t="str">
        <x:v>MAYBE</x:v>
      </x:c>
      <x:c r="N11" s="66" t="str">
        <x:v>src/components/CompanyGallery.astro</x:v>
      </x:c>
      <x:c r="O11" s="66" t="str">
        <x:v>NOT APPROVED</x:v>
      </x:c>
      <x:c r="P11" s="66" t="str">
        <x:f>IF(COUNTA(A11:O11)&lt;15,"INCOMPLETE","PASS")</x:f>
        <x:v>PASS</x:v>
      </x:c>
    </x:row>
    <x:row r="12" ht="54" customHeight="1">
      <x:c r="A12" s="66" t="str">
        <x:v>AST-008</x:v>
      </x:c>
      <x:c r="B12" s="66" t="str">
        <x:v>src/assets/company-carousel-03.webp</x:v>
      </x:c>
      <x:c r="C12" s="66" t="str">
        <x:v>WEBP</x:v>
      </x:c>
      <x:c r="D12" s="66" t="str">
        <x:v>1536 × 1024</x:v>
      </x:c>
      <x:c r="E12" s="68" t="n">
        <x:v>78.6</x:v>
      </x:c>
      <x:c r="F12" s="65" t="str">
        <x:v>CompanyGallery</x:v>
      </x:c>
      <x:c r="G12" s="65" t="str">
        <x:v>HOME / PROFILE</x:v>
      </x:c>
      <x:c r="H12" s="65" t="str">
        <x:v>Company gallery image</x:v>
      </x:c>
      <x:c r="I12" s="65" t="str">
        <x:v>MENUNGGU VERIFIKASI</x:v>
      </x:c>
      <x:c r="J12" s="65" t="str">
        <x:v>Source/rights not documented</x:v>
      </x:c>
      <x:c r="K12" s="65" t="str">
        <x:v>VERIFY SOURCE, RIGHTS, AND FINAL ROLE</x:v>
      </x:c>
      <x:c r="L12" s="65" t="str">
        <x:v>Alt copy is set in CompanyGallery</x:v>
      </x:c>
      <x:c r="M12" s="66" t="str">
        <x:v>MAYBE</x:v>
      </x:c>
      <x:c r="N12" s="66" t="str">
        <x:v>src/components/CompanyGallery.astro</x:v>
      </x:c>
      <x:c r="O12" s="66" t="str">
        <x:v>NOT APPROVED</x:v>
      </x:c>
      <x:c r="P12" s="66" t="str">
        <x:f>IF(COUNTA(A12:O12)&lt;15,"INCOMPLETE","PASS")</x:f>
        <x:v>PASS</x:v>
      </x:c>
    </x:row>
    <x:row r="13" ht="54" customHeight="1">
      <x:c r="A13" s="66" t="str">
        <x:v>AST-009</x:v>
      </x:c>
      <x:c r="B13" s="66" t="str">
        <x:v>src/assets/company-carousel-04.webp</x:v>
      </x:c>
      <x:c r="C13" s="66" t="str">
        <x:v>WEBP</x:v>
      </x:c>
      <x:c r="D13" s="66" t="str">
        <x:v>1537 × 1023</x:v>
      </x:c>
      <x:c r="E13" s="68" t="n">
        <x:v>89.2</x:v>
      </x:c>
      <x:c r="F13" s="65" t="str">
        <x:v>CompanyGallery</x:v>
      </x:c>
      <x:c r="G13" s="65" t="str">
        <x:v>HOME / PROFILE</x:v>
      </x:c>
      <x:c r="H13" s="65" t="str">
        <x:v>Company gallery image</x:v>
      </x:c>
      <x:c r="I13" s="65" t="str">
        <x:v>MENUNGGU VERIFIKASI</x:v>
      </x:c>
      <x:c r="J13" s="65" t="str">
        <x:v>Source/rights not documented</x:v>
      </x:c>
      <x:c r="K13" s="65" t="str">
        <x:v>VERIFY SOURCE, RIGHTS, AND FINAL ROLE</x:v>
      </x:c>
      <x:c r="L13" s="65" t="str">
        <x:v>Alt copy is set in CompanyGallery</x:v>
      </x:c>
      <x:c r="M13" s="66" t="str">
        <x:v>MAYBE</x:v>
      </x:c>
      <x:c r="N13" s="66" t="str">
        <x:v>src/components/CompanyGallery.astro</x:v>
      </x:c>
      <x:c r="O13" s="66" t="str">
        <x:v>NOT APPROVED</x:v>
      </x:c>
      <x:c r="P13" s="66" t="str">
        <x:f>IF(COUNTA(A13:O13)&lt;15,"INCOMPLETE","PASS")</x:f>
        <x:v>PASS</x:v>
      </x:c>
    </x:row>
    <x:row r="14" ht="54" customHeight="1">
      <x:c r="A14" s="66" t="str">
        <x:v>AST-010</x:v>
      </x:c>
      <x:c r="B14" s="66" t="str">
        <x:v>src/assets/company-carousel-05.webp</x:v>
      </x:c>
      <x:c r="C14" s="66" t="str">
        <x:v>WEBP</x:v>
      </x:c>
      <x:c r="D14" s="66" t="str">
        <x:v>1537 × 1023</x:v>
      </x:c>
      <x:c r="E14" s="68" t="n">
        <x:v>42.3</x:v>
      </x:c>
      <x:c r="F14" s="65" t="str">
        <x:v>CompanyGallery</x:v>
      </x:c>
      <x:c r="G14" s="65" t="str">
        <x:v>HOME / PROFILE</x:v>
      </x:c>
      <x:c r="H14" s="65" t="str">
        <x:v>Company gallery image</x:v>
      </x:c>
      <x:c r="I14" s="65" t="str">
        <x:v>MENUNGGU VERIFIKASI</x:v>
      </x:c>
      <x:c r="J14" s="65" t="str">
        <x:v>Source/rights not documented</x:v>
      </x:c>
      <x:c r="K14" s="65" t="str">
        <x:v>VERIFY SOURCE, RIGHTS, AND FINAL ROLE</x:v>
      </x:c>
      <x:c r="L14" s="65" t="str">
        <x:v>Alt copy is set in CompanyGallery</x:v>
      </x:c>
      <x:c r="M14" s="66" t="str">
        <x:v>MAYBE</x:v>
      </x:c>
      <x:c r="N14" s="66" t="str">
        <x:v>src/components/CompanyGallery.astro</x:v>
      </x:c>
      <x:c r="O14" s="66" t="str">
        <x:v>NOT APPROVED</x:v>
      </x:c>
      <x:c r="P14" s="66" t="str">
        <x:f>IF(COUNTA(A14:O14)&lt;15,"INCOMPLETE","PASS")</x:f>
        <x:v>PASS</x:v>
      </x:c>
    </x:row>
    <x:row r="15" ht="54" customHeight="1">
      <x:c r="A15" s="66" t="str">
        <x:v>AST-011</x:v>
      </x:c>
      <x:c r="B15" s="66" t="str">
        <x:v>src/assets/experience-business-licensing.png</x:v>
      </x:c>
      <x:c r="C15" s="66" t="str">
        <x:v>PNG</x:v>
      </x:c>
      <x:c r="D15" s="66" t="str">
        <x:v>1586 × 992</x:v>
      </x:c>
      <x:c r="E15" s="68" t="n">
        <x:v>1722</x:v>
      </x:c>
      <x:c r="F15" s="65" t="str">
        <x:v>ExperienceShowcase</x:v>
      </x:c>
      <x:c r="G15" s="65" t="str">
        <x:v>HOME</x:v>
      </x:c>
      <x:c r="H15" s="65" t="str">
        <x:v>Experience concept image</x:v>
      </x:c>
      <x:c r="I15" s="65" t="str">
        <x:v>DATA DUMMY / REPLACEABLE</x:v>
      </x:c>
      <x:c r="J15" s="65" t="str">
        <x:v>No approved case evidence/consent</x:v>
      </x:c>
      <x:c r="K15" s="65" t="str">
        <x:v>STAGING ONLY; REMOVE OR REPLACE BEFORE LAUNCH</x:v>
      </x:c>
      <x:c r="L15" s="65" t="str">
        <x:v>Current alt/caption must not imply a real case</x:v>
      </x:c>
      <x:c r="M15" s="66" t="str">
        <x:v>YES</x:v>
      </x:c>
      <x:c r="N15" s="66" t="str">
        <x:v>docs/DESIGN_SYSTEM.md; 05_Proof_Placeholders</x:v>
      </x:c>
      <x:c r="O15" s="66" t="str">
        <x:v>BLOCKED</x:v>
      </x:c>
      <x:c r="P15" s="66" t="str">
        <x:f>IF(COUNTA(A15:O15)&lt;15,"INCOMPLETE","PASS")</x:f>
        <x:v>PASS</x:v>
      </x:c>
    </x:row>
    <x:row r="16" ht="54" customHeight="1">
      <x:c r="A16" s="66" t="str">
        <x:v>AST-012</x:v>
      </x:c>
      <x:c r="B16" s="66" t="str">
        <x:v>src/assets/experience-compliance-review.png</x:v>
      </x:c>
      <x:c r="C16" s="66" t="str">
        <x:v>PNG</x:v>
      </x:c>
      <x:c r="D16" s="66" t="str">
        <x:v>1448 × 1086</x:v>
      </x:c>
      <x:c r="E16" s="68" t="n">
        <x:v>1782.1</x:v>
      </x:c>
      <x:c r="F16" s="65" t="str">
        <x:v>ExperienceShowcase</x:v>
      </x:c>
      <x:c r="G16" s="65" t="str">
        <x:v>HOME</x:v>
      </x:c>
      <x:c r="H16" s="65" t="str">
        <x:v>Experience concept image</x:v>
      </x:c>
      <x:c r="I16" s="65" t="str">
        <x:v>DATA DUMMY / REPLACEABLE</x:v>
      </x:c>
      <x:c r="J16" s="65" t="str">
        <x:v>No approved case evidence/consent</x:v>
      </x:c>
      <x:c r="K16" s="65" t="str">
        <x:v>STAGING ONLY; REMOVE OR REPLACE BEFORE LAUNCH</x:v>
      </x:c>
      <x:c r="L16" s="65" t="str">
        <x:v>Current alt/caption must not imply a real case</x:v>
      </x:c>
      <x:c r="M16" s="66" t="str">
        <x:v>YES</x:v>
      </x:c>
      <x:c r="N16" s="66" t="str">
        <x:v>docs/DESIGN_SYSTEM.md; 05_Proof_Placeholders</x:v>
      </x:c>
      <x:c r="O16" s="66" t="str">
        <x:v>BLOCKED</x:v>
      </x:c>
      <x:c r="P16" s="66" t="str">
        <x:f>IF(COUNTA(A16:O16)&lt;15,"INCOMPLETE","PASS")</x:f>
        <x:v>PASS</x:v>
      </x:c>
    </x:row>
    <x:row r="17" ht="54" customHeight="1">
      <x:c r="A17" s="66" t="str">
        <x:v>AST-013</x:v>
      </x:c>
      <x:c r="B17" s="66" t="str">
        <x:v>src/assets/experience-investment-project.png</x:v>
      </x:c>
      <x:c r="C17" s="66" t="str">
        <x:v>PNG</x:v>
      </x:c>
      <x:c r="D17" s="66" t="str">
        <x:v>1448 × 1086</x:v>
      </x:c>
      <x:c r="E17" s="68" t="n">
        <x:v>1991</x:v>
      </x:c>
      <x:c r="F17" s="65" t="str">
        <x:v>ExperienceShowcase</x:v>
      </x:c>
      <x:c r="G17" s="65" t="str">
        <x:v>HOME</x:v>
      </x:c>
      <x:c r="H17" s="65" t="str">
        <x:v>Experience concept image</x:v>
      </x:c>
      <x:c r="I17" s="65" t="str">
        <x:v>DATA DUMMY / REPLACEABLE</x:v>
      </x:c>
      <x:c r="J17" s="65" t="str">
        <x:v>No approved case evidence/consent</x:v>
      </x:c>
      <x:c r="K17" s="65" t="str">
        <x:v>STAGING ONLY; REMOVE OR REPLACE BEFORE LAUNCH</x:v>
      </x:c>
      <x:c r="L17" s="65" t="str">
        <x:v>Current alt/caption must not imply a real case</x:v>
      </x:c>
      <x:c r="M17" s="66" t="str">
        <x:v>YES</x:v>
      </x:c>
      <x:c r="N17" s="66" t="str">
        <x:v>docs/DESIGN_SYSTEM.md; 05_Proof_Placeholders</x:v>
      </x:c>
      <x:c r="O17" s="66" t="str">
        <x:v>BLOCKED</x:v>
      </x:c>
      <x:c r="P17" s="66" t="str">
        <x:f>IF(COUNTA(A17:O17)&lt;15,"INCOMPLETE","PASS")</x:f>
        <x:v>PASS</x:v>
      </x:c>
    </x:row>
    <x:row r="18" ht="54" customHeight="1">
      <x:c r="A18" s="66" t="str">
        <x:v>AST-014</x:v>
      </x:c>
      <x:c r="B18" s="66" t="str">
        <x:v>src/assets/home-licensing-hero.webp</x:v>
      </x:c>
      <x:c r="C18" s="66" t="str">
        <x:v>WEBP</x:v>
      </x:c>
      <x:c r="D18" s="66" t="str">
        <x:v>1536 × 1024</x:v>
      </x:c>
      <x:c r="E18" s="68" t="n">
        <x:v>49.2</x:v>
      </x:c>
      <x:c r="F18" s="65" t="str">
        <x:v>HomeHero</x:v>
      </x:c>
      <x:c r="G18" s="65" t="str">
        <x:v>HOME</x:v>
      </x:c>
      <x:c r="H18" s="65" t="str">
        <x:v>Hero concept image</x:v>
      </x:c>
      <x:c r="I18" s="65" t="str">
        <x:v>PLACEHOLDER INTERNAL / CONCEPT</x:v>
      </x:c>
      <x:c r="J18" s="65" t="str">
        <x:v>Source/rights not documented</x:v>
      </x:c>
      <x:c r="K18" s="65" t="str">
        <x:v>VERIFY OR REPLACE BEFORE FINAL LAUNCH CLAIMS</x:v>
      </x:c>
      <x:c r="L18" s="65" t="str">
        <x:v>Alt text exists in component</x:v>
      </x:c>
      <x:c r="M18" s="66" t="str">
        <x:v>YES</x:v>
      </x:c>
      <x:c r="N18" s="66" t="str">
        <x:v>docs/DESIGN_SYSTEM.md; src/components/home/HomeHero.astro</x:v>
      </x:c>
      <x:c r="O18" s="66" t="str">
        <x:v>NOT APPROVED</x:v>
      </x:c>
      <x:c r="P18" s="66" t="str">
        <x:f>IF(COUNTA(A18:O18)&lt;15,"INCOMPLETE","PASS")</x:f>
        <x:v>PASS</x:v>
      </x:c>
    </x:row>
    <x:row r="19" ht="54" customHeight="1">
      <x:c r="A19" s="66" t="str">
        <x:v>AST-015</x:v>
      </x:c>
      <x:c r="B19" s="66" t="str">
        <x:v>src/assets/profile-company-hero-centered.webp</x:v>
      </x:c>
      <x:c r="C19" s="66" t="str">
        <x:v>WEBP</x:v>
      </x:c>
      <x:c r="D19" s="66" t="str">
        <x:v>1672 × 941</x:v>
      </x:c>
      <x:c r="E19" s="68" t="n">
        <x:v>88.3</x:v>
      </x:c>
      <x:c r="F19" s="65" t="str">
        <x:v>ProfilePage</x:v>
      </x:c>
      <x:c r="G19" s="65" t="str">
        <x:v>PROFILE</x:v>
      </x:c>
      <x:c r="H19" s="65" t="str">
        <x:v>Profile hero concept image</x:v>
      </x:c>
      <x:c r="I19" s="65" t="str">
        <x:v>PLACEHOLDER INTERNAL / GENERATED</x:v>
      </x:c>
      <x:c r="J19" s="65" t="str">
        <x:v>Generated concept; official team photo/consent missing</x:v>
      </x:c>
      <x:c r="K19" s="65" t="str">
        <x:v>REPLACE BEFORE LAUNCH</x:v>
      </x:c>
      <x:c r="L19" s="65" t="str">
        <x:v>Caption explicitly identifies concept visual</x:v>
      </x:c>
      <x:c r="M19" s="66" t="str">
        <x:v>YES</x:v>
      </x:c>
      <x:c r="N19" s="66" t="str">
        <x:v>docs/DESIGN_SYSTEM.md; docs/PAGE_SPECIFICATIONS.md</x:v>
      </x:c>
      <x:c r="O19" s="66" t="str">
        <x:v>BLOCKED</x:v>
      </x:c>
      <x:c r="P19" s="66" t="str">
        <x:f>IF(COUNTA(A19:O19)&lt;15,"INCOMPLETE","PASS")</x:f>
        <x:v>PASS</x:v>
      </x:c>
    </x:row>
    <x:row r="20" ht="54" customHeight="1">
      <x:c r="A20" s="66" t="str">
        <x:v>AST-016</x:v>
      </x:c>
      <x:c r="B20" s="66" t="str">
        <x:v>src/assets/team-kelvin-anata-lian.webp</x:v>
      </x:c>
      <x:c r="C20" s="66" t="str">
        <x:v>WEBP</x:v>
      </x:c>
      <x:c r="D20" s="66" t="str">
        <x:v>1024 × 1536</x:v>
      </x:c>
      <x:c r="E20" s="68" t="n">
        <x:v>42.8</x:v>
      </x:c>
      <x:c r="F20" s="65" t="str">
        <x:v>TeamCarousel; PersonProfilePage</x:v>
      </x:c>
      <x:c r="G20" s="65" t="str">
        <x:v>PROFILE</x:v>
      </x:c>
      <x:c r="H20" s="65" t="str">
        <x:v>Team concept portrait</x:v>
      </x:c>
      <x:c r="I20" s="65" t="str">
        <x:v>DATA DUMMY / GENERATED</x:v>
      </x:c>
      <x:c r="J20" s="65" t="str">
        <x:v>Identity/photo consent not verified</x:v>
      </x:c>
      <x:c r="K20" s="65" t="str">
        <x:v>STAGING ONLY; REPLACE OR REMOVE BEFORE LAUNCH</x:v>
      </x:c>
      <x:c r="L20" s="65" t="str">
        <x:v>Concept portrait alt text in src/data/profile.ts</x:v>
      </x:c>
      <x:c r="M20" s="66" t="str">
        <x:v>YES</x:v>
      </x:c>
      <x:c r="N20" s="66" t="str">
        <x:v>docs/DESIGN_SYSTEM.md; src/data/profile.ts</x:v>
      </x:c>
      <x:c r="O20" s="66" t="str">
        <x:v>BLOCKED</x:v>
      </x:c>
      <x:c r="P20" s="66" t="str">
        <x:f>IF(COUNTA(A20:O20)&lt;15,"INCOMPLETE","PASS")</x:f>
        <x:v>PASS</x:v>
      </x:c>
    </x:row>
    <x:row r="21" ht="54" customHeight="1">
      <x:c r="A21" s="66" t="str">
        <x:v>AST-017</x:v>
      </x:c>
      <x:c r="B21" s="66" t="str">
        <x:v>src/assets/team-maria-indah-putri.webp</x:v>
      </x:c>
      <x:c r="C21" s="66" t="str">
        <x:v>WEBP</x:v>
      </x:c>
      <x:c r="D21" s="66" t="str">
        <x:v>1024 × 1536</x:v>
      </x:c>
      <x:c r="E21" s="68" t="n">
        <x:v>41.6</x:v>
      </x:c>
      <x:c r="F21" s="65" t="str">
        <x:v>TeamCarousel; PersonProfilePage</x:v>
      </x:c>
      <x:c r="G21" s="65" t="str">
        <x:v>PROFILE</x:v>
      </x:c>
      <x:c r="H21" s="65" t="str">
        <x:v>Team concept portrait</x:v>
      </x:c>
      <x:c r="I21" s="65" t="str">
        <x:v>DATA DUMMY / GENERATED</x:v>
      </x:c>
      <x:c r="J21" s="65" t="str">
        <x:v>Identity/photo consent not verified</x:v>
      </x:c>
      <x:c r="K21" s="65" t="str">
        <x:v>STAGING ONLY; REPLACE OR REMOVE BEFORE LAUNCH</x:v>
      </x:c>
      <x:c r="L21" s="65" t="str">
        <x:v>Concept portrait alt text in src/data/profile.ts</x:v>
      </x:c>
      <x:c r="M21" s="66" t="str">
        <x:v>YES</x:v>
      </x:c>
      <x:c r="N21" s="66" t="str">
        <x:v>docs/DESIGN_SYSTEM.md; src/data/profile.ts</x:v>
      </x:c>
      <x:c r="O21" s="66" t="str">
        <x:v>BLOCKED</x:v>
      </x:c>
      <x:c r="P21" s="66" t="str">
        <x:f>IF(COUNTA(A21:O21)&lt;15,"INCOMPLETE","PASS")</x:f>
        <x:v>PASS</x:v>
      </x:c>
    </x:row>
    <x:row r="22" ht="54" customHeight="1">
      <x:c r="A22" s="66" t="str">
        <x:v>AST-018</x:v>
      </x:c>
      <x:c r="B22" s="66" t="str">
        <x:v>src/assets/team-michael-alvaro.webp</x:v>
      </x:c>
      <x:c r="C22" s="66" t="str">
        <x:v>WEBP</x:v>
      </x:c>
      <x:c r="D22" s="66" t="str">
        <x:v>1024 × 1536</x:v>
      </x:c>
      <x:c r="E22" s="68" t="n">
        <x:v>44.4</x:v>
      </x:c>
      <x:c r="F22" s="65" t="str">
        <x:v>TeamCarousel; PersonProfilePage</x:v>
      </x:c>
      <x:c r="G22" s="65" t="str">
        <x:v>PROFILE</x:v>
      </x:c>
      <x:c r="H22" s="65" t="str">
        <x:v>Team concept portrait</x:v>
      </x:c>
      <x:c r="I22" s="65" t="str">
        <x:v>DATA DUMMY / GENERATED</x:v>
      </x:c>
      <x:c r="J22" s="65" t="str">
        <x:v>Identity/photo consent not verified</x:v>
      </x:c>
      <x:c r="K22" s="65" t="str">
        <x:v>STAGING ONLY; REPLACE OR REMOVE BEFORE LAUNCH</x:v>
      </x:c>
      <x:c r="L22" s="65" t="str">
        <x:v>Concept portrait alt text in src/data/profile.ts</x:v>
      </x:c>
      <x:c r="M22" s="66" t="str">
        <x:v>YES</x:v>
      </x:c>
      <x:c r="N22" s="66" t="str">
        <x:v>docs/DESIGN_SYSTEM.md; src/data/profile.ts</x:v>
      </x:c>
      <x:c r="O22" s="66" t="str">
        <x:v>BLOCKED</x:v>
      </x:c>
      <x:c r="P22" s="66" t="str">
        <x:f>IF(COUNTA(A22:O22)&lt;15,"INCOMPLETE","PASS")</x:f>
        <x:v>PASS</x:v>
      </x:c>
    </x:row>
    <x:row r="23">
      <x:c r="A23"/>
      <x:c r="B23"/>
      <x:c r="C23"/>
      <x:c r="D23"/>
      <x:c r="E23"/>
      <x:c r="F23"/>
      <x:c r="G23"/>
      <x:c r="H23"/>
      <x:c r="I23"/>
      <x:c r="J23"/>
      <x:c r="K23"/>
      <x:c r="L23"/>
      <x:c r="M23"/>
      <x:c r="N23"/>
      <x:c r="O23"/>
      <x:c r="P23"/>
    </x:row>
    <x:row r="24">
      <x:c r="A24"/>
      <x:c r="B24"/>
      <x:c r="C24"/>
      <x:c r="D24"/>
      <x:c r="E24"/>
      <x:c r="F24"/>
      <x:c r="G24"/>
      <x:c r="H24"/>
      <x:c r="I24"/>
      <x:c r="J24"/>
      <x:c r="K24"/>
      <x:c r="L24"/>
      <x:c r="M24"/>
      <x:c r="N24"/>
      <x:c r="O24"/>
      <x:c r="P24"/>
    </x:row>
    <x:row r="25">
      <x:c r="A25"/>
      <x:c r="B25"/>
      <x:c r="C25"/>
      <x:c r="D25"/>
      <x:c r="E25"/>
      <x:c r="F25"/>
      <x:c r="G25"/>
      <x:c r="H25"/>
      <x:c r="I25"/>
      <x:c r="J25"/>
      <x:c r="K25"/>
      <x:c r="L25"/>
      <x:c r="M25"/>
      <x:c r="N25"/>
      <x:c r="O25"/>
      <x:c r="P25"/>
    </x:row>
    <x:row r="26">
      <x:c r="A26"/>
      <x:c r="B26"/>
      <x:c r="C26"/>
      <x:c r="D26"/>
      <x:c r="E26"/>
      <x:c r="F26"/>
      <x:c r="G26"/>
      <x:c r="H26"/>
      <x:c r="I26"/>
      <x:c r="J26"/>
      <x:c r="K26"/>
      <x:c r="L26"/>
      <x:c r="M26"/>
      <x:c r="N26"/>
      <x:c r="O26"/>
      <x:c r="P26"/>
    </x:row>
    <x:row r="27">
      <x:c r="A27"/>
      <x:c r="B27"/>
      <x:c r="C27"/>
      <x:c r="D27"/>
      <x:c r="E27"/>
      <x:c r="F27"/>
      <x:c r="G27"/>
      <x:c r="H27"/>
      <x:c r="I27"/>
      <x:c r="J27"/>
      <x:c r="K27"/>
      <x:c r="L27"/>
      <x:c r="M27"/>
      <x:c r="N27"/>
      <x:c r="O27"/>
      <x:c r="P27"/>
    </x:row>
    <x:row r="28">
      <x:c r="A28"/>
      <x:c r="B28"/>
      <x:c r="C28"/>
      <x:c r="D28"/>
      <x:c r="E28"/>
      <x:c r="F28"/>
      <x:c r="G28"/>
      <x:c r="H28"/>
      <x:c r="I28"/>
      <x:c r="J28"/>
      <x:c r="K28"/>
      <x:c r="L28"/>
      <x:c r="M28"/>
      <x:c r="N28"/>
      <x:c r="O28"/>
      <x:c r="P28"/>
    </x:row>
    <x:row r="29">
      <x:c r="A29"/>
      <x:c r="B29"/>
      <x:c r="C29"/>
      <x:c r="D29"/>
      <x:c r="E29"/>
      <x:c r="F29"/>
      <x:c r="G29"/>
      <x:c r="H29"/>
      <x:c r="I29"/>
      <x:c r="J29"/>
      <x:c r="K29"/>
      <x:c r="L29"/>
      <x:c r="M29"/>
      <x:c r="N29"/>
      <x:c r="O29"/>
      <x:c r="P29"/>
    </x:row>
    <x:row r="30">
      <x:c r="A30"/>
      <x:c r="B30"/>
      <x:c r="C30"/>
      <x:c r="D30"/>
      <x:c r="E30"/>
      <x:c r="F30"/>
      <x:c r="G30"/>
      <x:c r="H30"/>
      <x:c r="I30"/>
      <x:c r="J30"/>
      <x:c r="K30"/>
      <x:c r="L30"/>
      <x:c r="M30"/>
      <x:c r="N30"/>
      <x:c r="O30"/>
      <x:c r="P30"/>
    </x:row>
  </x:sheetData>
  <x:mergeCells>
    <x:mergeCell ref="A1:P1"/>
  </x:mergeCells>
  <x:conditionalFormatting sqref="I5:I22">
    <x:cfRule type="containsText" dxfId="27" priority="1" operator="containsText" text="DATA DUMMY"/>
    <x:cfRule type="containsText" dxfId="28" priority="2" operator="containsText" text="PLACEHOLDER"/>
    <x:cfRule type="containsText" dxfId="29" priority="3" operator="containsText" text="DIPERTAHANKAN"/>
  </x:conditionalFormatting>
  <x:conditionalFormatting sqref="O5:O22">
    <x:cfRule type="containsText" dxfId="30" priority="4" operator="containsText" text="BLOCKED"/>
  </x:conditionalFormatting>
  <x:conditionalFormatting sqref="P5:P22">
    <x:cfRule type="containsText" dxfId="31" priority="5" operator="containsText" text="PASS"/>
  </x:conditionalFormatting>
  <x:pageMargins left="0.7" right="0.7" top="0.75" bottom="0.75" header="0.3" footer="0.3"/>
  <x:tableParts count="1">
    <x:tablePart xmlns:r="http://schemas.openxmlformats.org/officeDocument/2006/relationships" r:id="R97c63bb3d7fc41f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35.630001068115234" hidden="0" customWidth="1"/>
    <x:col min="4" max="4" width="30" hidden="0" customWidth="1"/>
    <x:col min="5" max="5" width="26.25" hidden="0" customWidth="1"/>
    <x:col min="6" max="6" width="30.6299991607666" hidden="0" customWidth="1"/>
    <x:col min="7" max="7" width="15.630000114440918" hidden="0" customWidth="1"/>
    <x:col min="8" max="8" width="11.25" hidden="0" customWidth="1"/>
    <x:col min="9" max="9" width="23.1299991607666" hidden="0" customWidth="1"/>
    <x:col min="10" max="10" width="32.5" hidden="0" customWidth="1"/>
    <x:col min="11" max="11" width="12.5" hidden="0" customWidth="1"/>
    <x:col min="12" max="12" width="22.5" hidden="0" customWidth="1"/>
    <x:col min="13" max="13" width="12.5" hidden="0" customWidth="1"/>
  </x:cols>
  <x:sheetData>
    <x:row r="1" ht="25.5" customHeight="1">
      <x:c r="A1" s="51" t="str">
        <x:v>REFERENCE REGISTER / SOURCE TRACEABILITY</x:v>
      </x:c>
      <x:c r="B1" s="51"/>
      <x:c r="C1" s="51"/>
      <x:c r="D1" s="51"/>
      <x:c r="E1" s="51"/>
      <x:c r="F1" s="51"/>
      <x:c r="G1" s="51"/>
      <x:c r="H1" s="51"/>
      <x:c r="I1" s="51"/>
      <x:c r="J1" s="51"/>
      <x:c r="K1" s="51"/>
      <x:c r="L1" s="51"/>
      <x:c r="M1" s="51"/>
    </x:row>
    <x:row r="2" ht="18.75" customHeight="1">
      <x:c r="A2" s="90" t="str">
        <x:v>Traceable implementation, documentation, workbook, audit and project-decision sources used for each mapping and launch-control decision.</x:v>
      </x:c>
      <x:c r="B2" s="90"/>
      <x:c r="C2" s="90"/>
      <x:c r="D2" s="90"/>
      <x:c r="E2" s="90"/>
      <x:c r="F2" s="90"/>
      <x:c r="G2" s="90"/>
      <x:c r="H2" s="90"/>
      <x:c r="I2" s="90"/>
      <x:c r="J2" s="90"/>
      <x:c r="K2" s="90"/>
      <x:c r="L2" s="90"/>
      <x:c r="M2" s="90"/>
    </x:row>
    <x:row r="3" ht="21" customHeight="1">
      <x:c r="A3" s="91" t="str">
        <x:v>Priority follows the agreed hierarchy: actual implementation first unless clearly placeholder/dummy; then latest aligned Fase 2 content; confirmed governance/legal limits; supporting references last.</x:v>
      </x:c>
      <x:c r="B3" s="91"/>
      <x:c r="C3" s="91"/>
      <x:c r="D3" s="91"/>
      <x:c r="E3" s="91"/>
      <x:c r="F3" s="91"/>
      <x:c r="G3" s="91"/>
      <x:c r="H3" s="91"/>
      <x:c r="I3" s="91"/>
      <x:c r="J3" s="91"/>
      <x:c r="K3" s="91"/>
      <x:c r="L3" s="91"/>
      <x:c r="M3" s="91"/>
    </x:row>
    <x:row r="4" ht="31.5" customHeight="1">
      <x:c r="A4" s="62" t="str">
        <x:v>Reference ID</x:v>
      </x:c>
      <x:c r="B4" s="62" t="str">
        <x:v>Reference Type</x:v>
      </x:c>
      <x:c r="C4" s="62" t="str">
        <x:v>Source / Path</x:v>
      </x:c>
      <x:c r="D4" s="62" t="str">
        <x:v>Relevant Section</x:v>
      </x:c>
      <x:c r="E4" s="62" t="str">
        <x:v>Used By</x:v>
      </x:c>
      <x:c r="F4" s="62" t="str">
        <x:v>Purpose</x:v>
      </x:c>
      <x:c r="G4" s="62" t="str">
        <x:v>Reuse Scope</x:v>
      </x:c>
      <x:c r="H4" s="62" t="str">
        <x:v>Priority</x:v>
      </x:c>
      <x:c r="I4" s="62" t="str">
        <x:v>Status</x:v>
      </x:c>
      <x:c r="J4" s="62" t="str">
        <x:v>Known Limitation</x:v>
      </x:c>
      <x:c r="K4" s="62" t="str">
        <x:v>Last Verified</x:v>
      </x:c>
      <x:c r="L4" s="62" t="str">
        <x:v>Owner / Reviewer</x:v>
      </x:c>
      <x:c r="M4" s="62" t="str">
        <x:v>Register QA</x:v>
      </x:c>
    </x:row>
    <x:row r="5" ht="54" customHeight="1">
      <x:c r="A5" s="66" t="str">
        <x:v>REF-SHEET-001</x:v>
      </x:c>
      <x:c r="B5" s="66" t="str">
        <x:v>Workbook source</x:v>
      </x:c>
      <x:c r="C5" s="65" t="str">
        <x:v>GP_Fase2_Website_Content_Sheet_Final_Aligned_2026-08-06.xlsx</x:v>
      </x:c>
      <x:c r="D5" s="65" t="str">
        <x:v>All 9 original sheets</x:v>
      </x:c>
      <x:c r="E5" s="65" t="str">
        <x:v>All content IDs</x:v>
      </x:c>
      <x:c r="F5" s="65" t="str">
        <x:v>Approved working copy, questions, dependencies, QA, actions, and source hierarchy</x:v>
      </x:c>
      <x:c r="G5" s="66" t="str">
        <x:v>GLOBAL</x:v>
      </x:c>
      <x:c r="H5" s="66" t="str">
        <x:v>PRIMARY</x:v>
      </x:c>
      <x:c r="I5" s="66" t="str">
        <x:v>CURRENT SOURCE</x:v>
      </x:c>
      <x:c r="J5" s="65" t="str">
        <x:v>Copy is not yet approved or mapped</x:v>
      </x:c>
      <x:c r="K5" s="66" t="str">
        <x:v>2026-08-14</x:v>
      </x:c>
      <x:c r="L5" s="66" t="str">
        <x:v>Project Lead / UI-UX / Legal as applicable</x:v>
      </x:c>
      <x:c r="M5" s="66" t="str">
        <x:f>IF(COUNTA(A5:L5)&lt;12,"INCOMPLETE","PASS")</x:f>
        <x:v>PASS</x:v>
      </x:c>
    </x:row>
    <x:row r="6" ht="54" customHeight="1">
      <x:c r="A6" s="66" t="str">
        <x:v>REF-CODE-001</x:v>
      </x:c>
      <x:c r="B6" s="66" t="str">
        <x:v>Data/config</x:v>
      </x:c>
      <x:c r="C6" s="65" t="str">
        <x:v>src/data/site.ts</x:v>
      </x:c>
      <x:c r="D6" s="65" t="str">
        <x:v>Identity, navigation, contact, 4 service categories, project placeholders</x:v>
      </x:c>
      <x:c r="E6" s="65" t="str">
        <x:v>GLOBAL; Services; Contact; Experiences</x:v>
      </x:c>
      <x:c r="F6" s="65" t="str">
        <x:v>Actual centralized website data</x:v>
      </x:c>
      <x:c r="G6" s="66" t="str">
        <x:v>GLOBAL</x:v>
      </x:c>
      <x:c r="H6" s="66" t="str">
        <x:v>PRIMARY</x:v>
      </x:c>
      <x:c r="I6" s="66" t="str">
        <x:v>IMPLEMENTED WITH PLACEHOLDERS</x:v>
      </x:c>
      <x:c r="J6" s="65" t="str">
        <x:v>Legal name/domain/address/registration remain placeholder in code</x:v>
      </x:c>
      <x:c r="K6" s="66" t="str">
        <x:v>2026-08-14</x:v>
      </x:c>
      <x:c r="L6" s="66" t="str">
        <x:v>Project Lead / UI-UX / Legal as applicable</x:v>
      </x:c>
      <x:c r="M6" s="66" t="str">
        <x:f>IF(COUNTA(A6:L6)&lt;12,"INCOMPLETE","PASS")</x:f>
        <x:v>PASS</x:v>
      </x:c>
    </x:row>
    <x:row r="7" ht="54" customHeight="1">
      <x:c r="A7" s="66" t="str">
        <x:v>REF-CODE-002</x:v>
      </x:c>
      <x:c r="B7" s="66" t="str">
        <x:v>Composition</x:v>
      </x:c>
      <x:c r="C7" s="65" t="str">
        <x:v>src/components/HomePage.astro</x:v>
      </x:c>
      <x:c r="D7" s="65" t="str">
        <x:v>Home section order</x:v>
      </x:c>
      <x:c r="E7" s="65" t="str">
        <x:v>H-001–H-012; WEB-H-001–002</x:v>
      </x:c>
      <x:c r="F7" s="65" t="str">
        <x:v>Actual Home component composition</x:v>
      </x:c>
      <x:c r="G7" s="66" t="str">
        <x:v>HOME</x:v>
      </x:c>
      <x:c r="H7" s="66" t="str">
        <x:v>PRIMARY</x:v>
      </x:c>
      <x:c r="I7" s="66" t="str">
        <x:v>IMPLEMENTED</x:v>
      </x:c>
      <x:c r="J7" s="65" t="str">
        <x:v>Two implemented website-only prototype sections</x:v>
      </x:c>
      <x:c r="K7" s="66" t="str">
        <x:v>2026-08-14</x:v>
      </x:c>
      <x:c r="L7" s="66" t="str">
        <x:v>Project Lead / UI-UX / Legal as applicable</x:v>
      </x:c>
      <x:c r="M7" s="66" t="str">
        <x:f>IF(COUNTA(A7:L7)&lt;12,"INCOMPLETE","PASS")</x:f>
        <x:v>PASS</x:v>
      </x:c>
    </x:row>
    <x:row r="8" ht="54" customHeight="1">
      <x:c r="A8" s="66" t="str">
        <x:v>REF-CODE-003</x:v>
      </x:c>
      <x:c r="B8" s="66" t="str">
        <x:v>Component</x:v>
      </x:c>
      <x:c r="C8" s="65" t="str">
        <x:v>src/components/home/HomeHero.astro</x:v>
      </x:c>
      <x:c r="D8" s="65" t="str">
        <x:v>Hero image, copy, Contact and Services CTAs</x:v>
      </x:c>
      <x:c r="E8" s="65" t="str">
        <x:v>H-001</x:v>
      </x:c>
      <x:c r="F8" s="65" t="str">
        <x:v>Home hero structural reference</x:v>
      </x:c>
      <x:c r="G8" s="66" t="str">
        <x:v>HOME HERO</x:v>
      </x:c>
      <x:c r="H8" s="66" t="str">
        <x:v>PRIMARY</x:v>
      </x:c>
      <x:c r="I8" s="66" t="str">
        <x:v>IMPLEMENTED</x:v>
      </x:c>
      <x:c r="J8" s="65" t="str">
        <x:v>Uses concept hero asset</x:v>
      </x:c>
      <x:c r="K8" s="66" t="str">
        <x:v>2026-08-14</x:v>
      </x:c>
      <x:c r="L8" s="66" t="str">
        <x:v>Project Lead / UI-UX / Legal as applicable</x:v>
      </x:c>
      <x:c r="M8" s="66" t="str">
        <x:f>IF(COUNTA(A8:L8)&lt;12,"INCOMPLETE","PASS")</x:f>
        <x:v>PASS</x:v>
      </x:c>
    </x:row>
    <x:row r="9" ht="54" customHeight="1">
      <x:c r="A9" s="66" t="str">
        <x:v>REF-CODE-004</x:v>
      </x:c>
      <x:c r="B9" s="66" t="str">
        <x:v>Component/data</x:v>
      </x:c>
      <x:c r="C9" s="65" t="str">
        <x:v>src/components/home/ClientRegister.astro; src/data/home.ts</x:v>
      </x:c>
      <x:c r="D9" s="65" t="str">
        <x:v>Six labelled dummy client marks</x:v>
      </x:c>
      <x:c r="E9" s="65" t="str">
        <x:v>WEB-H-001</x:v>
      </x:c>
      <x:c r="F9" s="65" t="str">
        <x:v>Website-only client register</x:v>
      </x:c>
      <x:c r="G9" s="66" t="str">
        <x:v>HOME</x:v>
      </x:c>
      <x:c r="H9" s="66" t="str">
        <x:v>SECONDARY</x:v>
      </x:c>
      <x:c r="I9" s="66" t="str">
        <x:v>PROTOTYPE</x:v>
      </x:c>
      <x:c r="J9" s="65" t="str">
        <x:v>No publication consent/evidence</x:v>
      </x:c>
      <x:c r="K9" s="66" t="str">
        <x:v>2026-08-14</x:v>
      </x:c>
      <x:c r="L9" s="66" t="str">
        <x:v>Project Lead / UI-UX / Legal as applicable</x:v>
      </x:c>
      <x:c r="M9" s="66" t="str">
        <x:f>IF(COUNTA(A9:L9)&lt;12,"INCOMPLETE","PASS")</x:f>
        <x:v>PASS</x:v>
      </x:c>
    </x:row>
    <x:row r="10" ht="54" customHeight="1">
      <x:c r="A10" s="66" t="str">
        <x:v>REF-CODE-005</x:v>
      </x:c>
      <x:c r="B10" s="66" t="str">
        <x:v>Component</x:v>
      </x:c>
      <x:c r="C10" s="65" t="str">
        <x:v>src/components/home/CompanySnapshot.astro; src/components/CompanyGallery.astro</x:v>
      </x:c>
      <x:c r="D10" s="65" t="str">
        <x:v>Company positioning, gallery, statistics</x:v>
      </x:c>
      <x:c r="E10" s="65" t="str">
        <x:v>H-009; P-002</x:v>
      </x:c>
      <x:c r="F10" s="65" t="str">
        <x:v>Credibility/identity layout reference</x:v>
      </x:c>
      <x:c r="G10" s="66" t="str">
        <x:v>HOME / PROFILE</x:v>
      </x:c>
      <x:c r="H10" s="66" t="str">
        <x:v>PRIMARY</x:v>
      </x:c>
      <x:c r="I10" s="66" t="str">
        <x:v>PARTIAL</x:v>
      </x:c>
      <x:c r="J10" s="65" t="str">
        <x:v>Statistics and some identity data are placeholders</x:v>
      </x:c>
      <x:c r="K10" s="66" t="str">
        <x:v>2026-08-14</x:v>
      </x:c>
      <x:c r="L10" s="66" t="str">
        <x:v>Project Lead / UI-UX / Legal as applicable</x:v>
      </x:c>
      <x:c r="M10" s="66" t="str">
        <x:f>IF(COUNTA(A10:L10)&lt;12,"INCOMPLETE","PASS")</x:f>
        <x:v>PASS</x:v>
      </x:c>
    </x:row>
    <x:row r="11" ht="54" customHeight="1">
      <x:c r="A11" s="66" t="str">
        <x:v>REF-CODE-006</x:v>
      </x:c>
      <x:c r="B11" s="66" t="str">
        <x:v>Component/data</x:v>
      </x:c>
      <x:c r="C11" s="65" t="str">
        <x:v>src/components/home/ServiceCarousel.astro; src/data/home.ts</x:v>
      </x:c>
      <x:c r="D11" s="65" t="str">
        <x:v>15-item prototype service rail</x:v>
      </x:c>
      <x:c r="E11" s="65" t="str">
        <x:v>H-003–H-007</x:v>
      </x:c>
      <x:c r="F11" s="65" t="str">
        <x:v>Existing carousel interaction and mismatch evidence</x:v>
      </x:c>
      <x:c r="G11" s="66" t="str">
        <x:v>HOME SERVICES</x:v>
      </x:c>
      <x:c r="H11" s="66" t="str">
        <x:v>PRIMARY</x:v>
      </x:c>
      <x:c r="I11" s="66" t="str">
        <x:v>PROTOTYPE / MISMATCH</x:v>
      </x:c>
      <x:c r="J11" s="65" t="str">
        <x:v>Does not match the approved 4-category content structure</x:v>
      </x:c>
      <x:c r="K11" s="66" t="str">
        <x:v>2026-08-14</x:v>
      </x:c>
      <x:c r="L11" s="66" t="str">
        <x:v>Project Lead / UI-UX / Legal as applicable</x:v>
      </x:c>
      <x:c r="M11" s="66" t="str">
        <x:f>IF(COUNTA(A11:L11)&lt;12,"INCOMPLETE","PASS")</x:f>
        <x:v>PASS</x:v>
      </x:c>
    </x:row>
    <x:row r="12" ht="54" customHeight="1">
      <x:c r="A12" s="66" t="str">
        <x:v>REF-CODE-007</x:v>
      </x:c>
      <x:c r="B12" s="66" t="str">
        <x:v>Component</x:v>
      </x:c>
      <x:c r="C12" s="65" t="str">
        <x:v>src/components/home/PermitProcess.astro</x:v>
      </x:c>
      <x:c r="D12" s="65" t="str">
        <x:v>Four-step process and Contact CTA</x:v>
      </x:c>
      <x:c r="E12" s="65" t="str">
        <x:v>H-008</x:v>
      </x:c>
      <x:c r="F12" s="65" t="str">
        <x:v>Process structure reference</x:v>
      </x:c>
      <x:c r="G12" s="66" t="str">
        <x:v>HOME</x:v>
      </x:c>
      <x:c r="H12" s="66" t="str">
        <x:v>PRIMARY</x:v>
      </x:c>
      <x:c r="I12" s="66" t="str">
        <x:v>IMPLEMENTED</x:v>
      </x:c>
      <x:c r="J12" s="65" t="str">
        <x:v>Operational detail depends on engagement scope</x:v>
      </x:c>
      <x:c r="K12" s="66" t="str">
        <x:v>2026-08-14</x:v>
      </x:c>
      <x:c r="L12" s="66" t="str">
        <x:v>Project Lead / UI-UX / Legal as applicable</x:v>
      </x:c>
      <x:c r="M12" s="66" t="str">
        <x:f>IF(COUNTA(A12:L12)&lt;12,"INCOMPLETE","PASS")</x:f>
        <x:v>PASS</x:v>
      </x:c>
    </x:row>
    <x:row r="13" ht="54" customHeight="1">
      <x:c r="A13" s="66" t="str">
        <x:v>REF-CODE-008</x:v>
      </x:c>
      <x:c r="B13" s="66" t="str">
        <x:v>Component</x:v>
      </x:c>
      <x:c r="C13" s="65" t="str">
        <x:v>src/components/home/CompanyVideo.astro</x:v>
      </x:c>
      <x:c r="D13" s="65" t="str">
        <x:v>Non-interactive company film placeholder</x:v>
      </x:c>
      <x:c r="E13" s="65" t="str">
        <x:v>WEB-H-002</x:v>
      </x:c>
      <x:c r="F13" s="65" t="str">
        <x:v>Website-only media placeholder</x:v>
      </x:c>
      <x:c r="G13" s="66" t="str">
        <x:v>HOME</x:v>
      </x:c>
      <x:c r="H13" s="66" t="str">
        <x:v>SECONDARY</x:v>
      </x:c>
      <x:c r="I13" s="66" t="str">
        <x:v>PROTOTYPE</x:v>
      </x:c>
      <x:c r="J13" s="65" t="str">
        <x:v>No final video/media content</x:v>
      </x:c>
      <x:c r="K13" s="66" t="str">
        <x:v>2026-08-14</x:v>
      </x:c>
      <x:c r="L13" s="66" t="str">
        <x:v>Project Lead / UI-UX / Legal as applicable</x:v>
      </x:c>
      <x:c r="M13" s="66" t="str">
        <x:f>IF(COUNTA(A13:L13)&lt;12,"INCOMPLETE","PASS")</x:f>
        <x:v>PASS</x:v>
      </x:c>
    </x:row>
    <x:row r="14" ht="54" customHeight="1">
      <x:c r="A14" s="66" t="str">
        <x:v>REF-CODE-009</x:v>
      </x:c>
      <x:c r="B14" s="66" t="str">
        <x:v>Component/data</x:v>
      </x:c>
      <x:c r="C14" s="65" t="str">
        <x:v>src/components/home/ExperienceShowcase.astro; src/data/site.ts</x:v>
      </x:c>
      <x:c r="D14" s="65" t="str">
        <x:v>Experience grid and placeholder metadata</x:v>
      </x:c>
      <x:c r="E14" s="65" t="str">
        <x:v>H-010; E-002</x:v>
      </x:c>
      <x:c r="F14" s="65" t="str">
        <x:v>Prototype experience reference</x:v>
      </x:c>
      <x:c r="G14" s="66" t="str">
        <x:v>HOME / EXPERIENCES</x:v>
      </x:c>
      <x:c r="H14" s="66" t="str">
        <x:v>PRIMARY</x:v>
      </x:c>
      <x:c r="I14" s="66" t="str">
        <x:v>PROTOTYPE</x:v>
      </x:c>
      <x:c r="J14" s="65" t="str">
        <x:v>Evidence and consent missing</x:v>
      </x:c>
      <x:c r="K14" s="66" t="str">
        <x:v>2026-08-14</x:v>
      </x:c>
      <x:c r="L14" s="66" t="str">
        <x:v>Project Lead / UI-UX / Legal as applicable</x:v>
      </x:c>
      <x:c r="M14" s="66" t="str">
        <x:f>IF(COUNTA(A14:L14)&lt;12,"INCOMPLETE","PASS")</x:f>
        <x:v>PASS</x:v>
      </x:c>
    </x:row>
    <x:row r="15" ht="54" customHeight="1">
      <x:c r="A15" s="66" t="str">
        <x:v>REF-CODE-010</x:v>
      </x:c>
      <x:c r="B15" s="66" t="str">
        <x:v>Component/content</x:v>
      </x:c>
      <x:c r="C15" s="65" t="str">
        <x:v>src/components/home/HomeInsights.astro; src/content/blog/**</x:v>
      </x:c>
      <x:c r="D15" s="65" t="str">
        <x:v>Latest article preview</x:v>
      </x:c>
      <x:c r="E15" s="65" t="str">
        <x:v>H-011; B-002</x:v>
      </x:c>
      <x:c r="F15" s="65" t="str">
        <x:v>Article preview structure</x:v>
      </x:c>
      <x:c r="G15" s="66" t="str">
        <x:v>HOME / BLOG</x:v>
      </x:c>
      <x:c r="H15" s="66" t="str">
        <x:v>PRIMARY</x:v>
      </x:c>
      <x:c r="I15" s="66" t="str">
        <x:v>PREVIEW</x:v>
      </x:c>
      <x:c r="J15" s="65" t="str">
        <x:v>Articles require editorial/legal review</x:v>
      </x:c>
      <x:c r="K15" s="66" t="str">
        <x:v>2026-08-14</x:v>
      </x:c>
      <x:c r="L15" s="66" t="str">
        <x:v>Project Lead / UI-UX / Legal as applicable</x:v>
      </x:c>
      <x:c r="M15" s="66" t="str">
        <x:f>IF(COUNTA(A15:L15)&lt;12,"INCOMPLETE","PASS")</x:f>
        <x:v>PASS</x:v>
      </x:c>
    </x:row>
    <x:row r="16" ht="54" customHeight="1">
      <x:c r="A16" s="66" t="str">
        <x:v>REF-CODE-011</x:v>
      </x:c>
      <x:c r="B16" s="66" t="str">
        <x:v>Component</x:v>
      </x:c>
      <x:c r="C16" s="65" t="str">
        <x:v>src/components/home/HomeFinalCta.astro</x:v>
      </x:c>
      <x:c r="D16" s="65" t="str">
        <x:v>Shared final CTA</x:v>
      </x:c>
      <x:c r="E16" s="65" t="str">
        <x:v>H-012; P-006</x:v>
      </x:c>
      <x:c r="F16" s="65" t="str">
        <x:v>Shared CTA reference</x:v>
      </x:c>
      <x:c r="G16" s="66" t="str">
        <x:v>HOME / PROFILE</x:v>
      </x:c>
      <x:c r="H16" s="66" t="str">
        <x:v>PRIMARY</x:v>
      </x:c>
      <x:c r="I16" s="66" t="str">
        <x:v>IMPLEMENTED</x:v>
      </x:c>
      <x:c r="J16" s="65" t="str">
        <x:v>Labels still need content approval</x:v>
      </x:c>
      <x:c r="K16" s="66" t="str">
        <x:v>2026-08-14</x:v>
      </x:c>
      <x:c r="L16" s="66" t="str">
        <x:v>Project Lead / UI-UX / Legal as applicable</x:v>
      </x:c>
      <x:c r="M16" s="66" t="str">
        <x:f>IF(COUNTA(A16:L16)&lt;12,"INCOMPLETE","PASS")</x:f>
        <x:v>PASS</x:v>
      </x:c>
    </x:row>
    <x:row r="17" ht="54" customHeight="1">
      <x:c r="A17" s="66" t="str">
        <x:v>REF-CODE-012</x:v>
      </x:c>
      <x:c r="B17" s="66" t="str">
        <x:v>Component/data</x:v>
      </x:c>
      <x:c r="C17" s="65" t="str">
        <x:v>src/components/ProfilePage.astro; src/data/profile.ts</x:v>
      </x:c>
      <x:c r="D17" s="65" t="str">
        <x:v>Profile hero, company, identity, team composition</x:v>
      </x:c>
      <x:c r="E17" s="65" t="str">
        <x:v>P-001–P-005</x:v>
      </x:c>
      <x:c r="F17" s="65" t="str">
        <x:v>Actual Profile structure and data</x:v>
      </x:c>
      <x:c r="G17" s="66" t="str">
        <x:v>PROFILE</x:v>
      </x:c>
      <x:c r="H17" s="66" t="str">
        <x:v>PRIMARY</x:v>
      </x:c>
      <x:c r="I17" s="66" t="str">
        <x:v>PARTIAL / PROTOTYPE</x:v>
      </x:c>
      <x:c r="J17" s="65" t="str">
        <x:v>Identity/team placeholders remain in code</x:v>
      </x:c>
      <x:c r="K17" s="66" t="str">
        <x:v>2026-08-14</x:v>
      </x:c>
      <x:c r="L17" s="66" t="str">
        <x:v>Project Lead / UI-UX / Legal as applicable</x:v>
      </x:c>
      <x:c r="M17" s="66" t="str">
        <x:f>IF(COUNTA(A17:L17)&lt;12,"INCOMPLETE","PASS")</x:f>
        <x:v>PASS</x:v>
      </x:c>
    </x:row>
    <x:row r="18" ht="54" customHeight="1">
      <x:c r="A18" s="66" t="str">
        <x:v>REF-CODE-013</x:v>
      </x:c>
      <x:c r="B18" s="66" t="str">
        <x:v>Component/data</x:v>
      </x:c>
      <x:c r="C18" s="65" t="str">
        <x:v>src/components/profile/TeamCarousel.astro; src/data/profile.ts</x:v>
      </x:c>
      <x:c r="D18" s="65" t="str">
        <x:v>Three person cards and routes</x:v>
      </x:c>
      <x:c r="E18" s="65" t="str">
        <x:v>P-005</x:v>
      </x:c>
      <x:c r="F18" s="65" t="str">
        <x:v>Prototype team directory reference</x:v>
      </x:c>
      <x:c r="G18" s="66" t="str">
        <x:v>PROFILE</x:v>
      </x:c>
      <x:c r="H18" s="66" t="str">
        <x:v>PRIMARY</x:v>
      </x:c>
      <x:c r="I18" s="66" t="str">
        <x:v>PROTOTYPE</x:v>
      </x:c>
      <x:c r="J18" s="65" t="str">
        <x:v>Team identities/credentials/photos/consent not verified</x:v>
      </x:c>
      <x:c r="K18" s="66" t="str">
        <x:v>2026-08-14</x:v>
      </x:c>
      <x:c r="L18" s="66" t="str">
        <x:v>Project Lead / UI-UX / Legal as applicable</x:v>
      </x:c>
      <x:c r="M18" s="66" t="str">
        <x:f>IF(COUNTA(A18:L18)&lt;12,"INCOMPLETE","PASS")</x:f>
        <x:v>PASS</x:v>
      </x:c>
    </x:row>
    <x:row r="19" ht="54" customHeight="1">
      <x:c r="A19" s="66" t="str">
        <x:v>REF-CODE-014</x:v>
      </x:c>
      <x:c r="B19" s="66" t="str">
        <x:v>Component</x:v>
      </x:c>
      <x:c r="C19" s="65" t="str">
        <x:v>src/components/PersonProfilePage.astro</x:v>
      </x:c>
      <x:c r="D19" s="65" t="str">
        <x:v>Person hero, contacts, overview, noindex</x:v>
      </x:c>
      <x:c r="E19" s="65" t="str">
        <x:v>PD-001</x:v>
      </x:c>
      <x:c r="F19" s="65" t="str">
        <x:v>Profile-detail prototype reference</x:v>
      </x:c>
      <x:c r="G19" s="66" t="str">
        <x:v>PROFILE DETAIL</x:v>
      </x:c>
      <x:c r="H19" s="66" t="str">
        <x:v>PRIMARY</x:v>
      </x:c>
      <x:c r="I19" s="66" t="str">
        <x:v>PROTOTYPE / NOINDEX</x:v>
      </x:c>
      <x:c r="J19" s="65" t="str">
        <x:v>No Person schema until verification</x:v>
      </x:c>
      <x:c r="K19" s="66" t="str">
        <x:v>2026-08-14</x:v>
      </x:c>
      <x:c r="L19" s="66" t="str">
        <x:v>Project Lead / UI-UX / Legal as applicable</x:v>
      </x:c>
      <x:c r="M19" s="66" t="str">
        <x:f>IF(COUNTA(A19:L19)&lt;12,"INCOMPLETE","PASS")</x:f>
        <x:v>PASS</x:v>
      </x:c>
    </x:row>
    <x:row r="20" ht="54" customHeight="1">
      <x:c r="A20" s="66" t="str">
        <x:v>REF-CODE-015</x:v>
      </x:c>
      <x:c r="B20" s="66" t="str">
        <x:v>Component/data</x:v>
      </x:c>
      <x:c r="C20" s="65" t="str">
        <x:v>src/components/ContentPage.astro; src/data/site.ts</x:v>
      </x:c>
      <x:c r="D20" s="65" t="str">
        <x:v>Services and Projects page implementation</x:v>
      </x:c>
      <x:c r="E20" s="65" t="str">
        <x:v>S-001–S-008; E-001–E-002</x:v>
      </x:c>
      <x:c r="F20" s="65" t="str">
        <x:v>Actual category/project structures</x:v>
      </x:c>
      <x:c r="G20" s="66" t="str">
        <x:v>SERVICES / EXPERIENCES</x:v>
      </x:c>
      <x:c r="H20" s="66" t="str">
        <x:v>PRIMARY</x:v>
      </x:c>
      <x:c r="I20" s="66" t="str">
        <x:v>PARTIAL / PROTOTYPE</x:v>
      </x:c>
      <x:c r="J20" s="65" t="str">
        <x:v>Services lacks S-002/S-007; projects are placeholders</x:v>
      </x:c>
      <x:c r="K20" s="66" t="str">
        <x:v>2026-08-14</x:v>
      </x:c>
      <x:c r="L20" s="66" t="str">
        <x:v>Project Lead / UI-UX / Legal as applicable</x:v>
      </x:c>
      <x:c r="M20" s="66" t="str">
        <x:f>IF(COUNTA(A20:L20)&lt;12,"INCOMPLETE","PASS")</x:f>
        <x:v>PASS</x:v>
      </x:c>
    </x:row>
    <x:row r="21" ht="54" customHeight="1">
      <x:c r="A21" s="66" t="str">
        <x:v>REF-CODE-016</x:v>
      </x:c>
      <x:c r="B21" s="66" t="str">
        <x:v>Component/data</x:v>
      </x:c>
      <x:c r="C21" s="65" t="str">
        <x:v>src/components/ContactPage.astro; src/data/site.ts</x:v>
      </x:c>
      <x:c r="D21" s="65" t="str">
        <x:v>Direct channels, address, urgency boundary</x:v>
      </x:c>
      <x:c r="E21" s="65" t="str">
        <x:v>C-001; C-004; C-005</x:v>
      </x:c>
      <x:c r="F21" s="65" t="str">
        <x:v>Contact page structure</x:v>
      </x:c>
      <x:c r="G21" s="66" t="str">
        <x:v>CONTACT</x:v>
      </x:c>
      <x:c r="H21" s="66" t="str">
        <x:v>PRIMARY</x:v>
      </x:c>
      <x:c r="I21" s="66" t="str">
        <x:v>PARTIAL</x:v>
      </x:c>
      <x:c r="J21" s="65" t="str">
        <x:v>Address/privacy/legal contact remain unresolved for launch</x:v>
      </x:c>
      <x:c r="K21" s="66" t="str">
        <x:v>2026-08-14</x:v>
      </x:c>
      <x:c r="L21" s="66" t="str">
        <x:v>Project Lead / UI-UX / Legal as applicable</x:v>
      </x:c>
      <x:c r="M21" s="66" t="str">
        <x:f>IF(COUNTA(A21:L21)&lt;12,"INCOMPLETE","PASS")</x:f>
        <x:v>PASS</x:v>
      </x:c>
    </x:row>
    <x:row r="22" ht="54" customHeight="1">
      <x:c r="A22" s="66" t="str">
        <x:v>REF-CODE-017</x:v>
      </x:c>
      <x:c r="B22" s="66" t="str">
        <x:v>Component</x:v>
      </x:c>
      <x:c r="C22" s="65" t="str">
        <x:v>src/components/ContactForm.astro</x:v>
      </x:c>
      <x:c r="D22" s="65" t="str">
        <x:v>Fields, consent, validation, inline status</x:v>
      </x:c>
      <x:c r="E22" s="65" t="str">
        <x:v>C-002; C-003; C-004</x:v>
      </x:c>
      <x:c r="F22" s="65" t="str">
        <x:v>Inquiry form UI and current status behavior</x:v>
      </x:c>
      <x:c r="G22" s="66" t="str">
        <x:v>CONTACT</x:v>
      </x:c>
      <x:c r="H22" s="66" t="str">
        <x:v>PRIMARY</x:v>
      </x:c>
      <x:c r="I22" s="66" t="str">
        <x:v>IMPLEMENTED / POP-UP PENDING</x:v>
      </x:c>
      <x:c r="J22" s="65" t="str">
        <x:v>Success state is inline, not the confirmed pop-up</x:v>
      </x:c>
      <x:c r="K22" s="66" t="str">
        <x:v>2026-08-14</x:v>
      </x:c>
      <x:c r="L22" s="66" t="str">
        <x:v>Project Lead / UI-UX / Legal as applicable</x:v>
      </x:c>
      <x:c r="M22" s="66" t="str">
        <x:f>IF(COUNTA(A22:L22)&lt;12,"INCOMPLETE","PASS")</x:f>
        <x:v>PASS</x:v>
      </x:c>
    </x:row>
    <x:row r="23" ht="54" customHeight="1">
      <x:c r="A23" s="66" t="str">
        <x:v>REF-CODE-018</x:v>
      </x:c>
      <x:c r="B23" s="66" t="str">
        <x:v>API</x:v>
      </x:c>
      <x:c r="C23" s="65" t="str">
        <x:v>src/pages/api/contact.ts; .env.example</x:v>
      </x:c>
      <x:c r="D23" s="65" t="str">
        <x:v>Validation, rate limiting, Resend delivery, dry-run</x:v>
      </x:c>
      <x:c r="E23" s="65" t="str">
        <x:v>C-003</x:v>
      </x:c>
      <x:c r="F23" s="65" t="str">
        <x:v>Inquiry delivery flow</x:v>
      </x:c>
      <x:c r="G23" s="66" t="str">
        <x:v>CONTACT API</x:v>
      </x:c>
      <x:c r="H23" s="66" t="str">
        <x:v>PRIMARY</x:v>
      </x:c>
      <x:c r="I23" s="66" t="str">
        <x:v>IMPLEMENTED / ENV PENDING</x:v>
      </x:c>
      <x:c r="J23" s="65" t="str">
        <x:v>Requires production Resend/domain environment values</x:v>
      </x:c>
      <x:c r="K23" s="66" t="str">
        <x:v>2026-08-14</x:v>
      </x:c>
      <x:c r="L23" s="66" t="str">
        <x:v>Project Lead / UI-UX / Legal as applicable</x:v>
      </x:c>
      <x:c r="M23" s="66" t="str">
        <x:f>IF(COUNTA(A23:L23)&lt;12,"INCOMPLETE","PASS")</x:f>
        <x:v>PASS</x:v>
      </x:c>
    </x:row>
    <x:row r="24" ht="54" customHeight="1">
      <x:c r="A24" s="66" t="str">
        <x:v>REF-CODE-019</x:v>
      </x:c>
      <x:c r="B24" s="66" t="str">
        <x:v>Component/content</x:v>
      </x:c>
      <x:c r="C24" s="65" t="str">
        <x:v>src/components/BlogIndexPage.astro; src/components/ArticleCard.astro; src/content/blog/**</x:v>
      </x:c>
      <x:c r="D24" s="65" t="str">
        <x:v>Blog hero, filters, cards</x:v>
      </x:c>
      <x:c r="E24" s="65" t="str">
        <x:v>B-001–B-002</x:v>
      </x:c>
      <x:c r="F24" s="65" t="str">
        <x:v>Blog listing implementation</x:v>
      </x:c>
      <x:c r="G24" s="66" t="str">
        <x:v>BLOG</x:v>
      </x:c>
      <x:c r="H24" s="66" t="str">
        <x:v>PRIMARY</x:v>
      </x:c>
      <x:c r="I24" s="66" t="str">
        <x:v>PREVIEW</x:v>
      </x:c>
      <x:c r="J24" s="65" t="str">
        <x:v>Substantive articles are not launch-approved</x:v>
      </x:c>
      <x:c r="K24" s="66" t="str">
        <x:v>2026-08-14</x:v>
      </x:c>
      <x:c r="L24" s="66" t="str">
        <x:v>Project Lead / UI-UX / Legal as applicable</x:v>
      </x:c>
      <x:c r="M24" s="66" t="str">
        <x:f>IF(COUNTA(A24:L24)&lt;12,"INCOMPLETE","PASS")</x:f>
        <x:v>PASS</x:v>
      </x:c>
    </x:row>
    <x:row r="25" ht="54" customHeight="1">
      <x:c r="A25" s="66" t="str">
        <x:v>REF-CODE-020</x:v>
      </x:c>
      <x:c r="B25" s="66" t="str">
        <x:v>Component/content</x:v>
      </x:c>
      <x:c r="C25" s="65" t="str">
        <x:v>src/components/BlogPostPage.astro; src/content/blog/**</x:v>
      </x:c>
      <x:c r="D25" s="65" t="str">
        <x:v>Article template, disclaimer, translation, related posts</x:v>
      </x:c>
      <x:c r="E25" s="65" t="str">
        <x:v>A-001</x:v>
      </x:c>
      <x:c r="F25" s="65" t="str">
        <x:v>Article detail implementation</x:v>
      </x:c>
      <x:c r="G25" s="66" t="str">
        <x:v>ARTICLE DETAIL</x:v>
      </x:c>
      <x:c r="H25" s="66" t="str">
        <x:v>PRIMARY</x:v>
      </x:c>
      <x:c r="I25" s="66" t="str">
        <x:v>PREVIEW</x:v>
      </x:c>
      <x:c r="J25" s="65" t="str">
        <x:v>Legal/editorial review metadata remains required</x:v>
      </x:c>
      <x:c r="K25" s="66" t="str">
        <x:v>2026-08-14</x:v>
      </x:c>
      <x:c r="L25" s="66" t="str">
        <x:v>Project Lead / UI-UX / Legal as applicable</x:v>
      </x:c>
      <x:c r="M25" s="66" t="str">
        <x:f>IF(COUNTA(A25:L25)&lt;12,"INCOMPLETE","PASS")</x:f>
        <x:v>PASS</x:v>
      </x:c>
    </x:row>
    <x:row r="26" ht="54" customHeight="1">
      <x:c r="A26" s="66" t="str">
        <x:v>REF-DOC-001</x:v>
      </x:c>
      <x:c r="B26" s="66" t="str">
        <x:v>Documentation</x:v>
      </x:c>
      <x:c r="C26" s="65" t="str">
        <x:v>docs/PAGE_SPECIFICATIONS.md</x:v>
      </x:c>
      <x:c r="D26" s="65" t="str">
        <x:v>Page orders, routes, placeholder rules</x:v>
      </x:c>
      <x:c r="E26" s="65" t="str">
        <x:v>All current page mappings</x:v>
      </x:c>
      <x:c r="F26" s="65" t="str">
        <x:v>Expected structure and explicit prototype behavior</x:v>
      </x:c>
      <x:c r="G26" s="66" t="str">
        <x:v>GLOBAL</x:v>
      </x:c>
      <x:c r="H26" s="66" t="str">
        <x:v>PRIMARY</x:v>
      </x:c>
      <x:c r="I26" s="66" t="str">
        <x:v>CURRENT DOC</x:v>
      </x:c>
      <x:c r="J26" s="65" t="str">
        <x:v>Some specs do not match implemented content sheet sections</x:v>
      </x:c>
      <x:c r="K26" s="66" t="str">
        <x:v>2026-08-14</x:v>
      </x:c>
      <x:c r="L26" s="66" t="str">
        <x:v>Project Lead / UI-UX / Legal as applicable</x:v>
      </x:c>
      <x:c r="M26" s="66" t="str">
        <x:f>IF(COUNTA(A26:L26)&lt;12,"INCOMPLETE","PASS")</x:f>
        <x:v>PASS</x:v>
      </x:c>
    </x:row>
    <x:row r="27" ht="54" customHeight="1">
      <x:c r="A27" s="66" t="str">
        <x:v>REF-DOC-002</x:v>
      </x:c>
      <x:c r="B27" s="66" t="str">
        <x:v>Documentation</x:v>
      </x:c>
      <x:c r="C27" s="65" t="str">
        <x:v>docs/REQUIREMENTS.md</x:v>
      </x:c>
      <x:c r="D27" s="65" t="str">
        <x:v>Functional, non-functional, content integrity, definition of done</x:v>
      </x:c>
      <x:c r="E27" s="65" t="str">
        <x:v>Global; FAQ; Privacy; Terms</x:v>
      </x:c>
      <x:c r="F27" s="65" t="str">
        <x:v>Build/launch requirements</x:v>
      </x:c>
      <x:c r="G27" s="66" t="str">
        <x:v>GLOBAL</x:v>
      </x:c>
      <x:c r="H27" s="66" t="str">
        <x:v>PRIMARY</x:v>
      </x:c>
      <x:c r="I27" s="66" t="str">
        <x:v>CURRENT DOC</x:v>
      </x:c>
      <x:c r="J27" s="65" t="str">
        <x:v>Privacy/Terms remain absent</x:v>
      </x:c>
      <x:c r="K27" s="66" t="str">
        <x:v>2026-08-14</x:v>
      </x:c>
      <x:c r="L27" s="66" t="str">
        <x:v>Project Lead / UI-UX / Legal as applicable</x:v>
      </x:c>
      <x:c r="M27" s="66" t="str">
        <x:f>IF(COUNTA(A27:L27)&lt;12,"INCOMPLETE","PASS")</x:f>
        <x:v>PASS</x:v>
      </x:c>
    </x:row>
    <x:row r="28" ht="54" customHeight="1">
      <x:c r="A28" s="66" t="str">
        <x:v>REF-DOC-003</x:v>
      </x:c>
      <x:c r="B28" s="66" t="str">
        <x:v>Documentation</x:v>
      </x:c>
      <x:c r="C28" s="65" t="str">
        <x:v>docs/DESIGN_SYSTEM.md</x:v>
      </x:c>
      <x:c r="D28" s="65" t="str">
        <x:v>Brand assets and replaceable concept imagery</x:v>
      </x:c>
      <x:c r="E28" s="65" t="str">
        <x:v>Asset register</x:v>
      </x:c>
      <x:c r="F28" s="65" t="str">
        <x:v>Asset classification and visual governance</x:v>
      </x:c>
      <x:c r="G28" s="66" t="str">
        <x:v>GLOBAL</x:v>
      </x:c>
      <x:c r="H28" s="66" t="str">
        <x:v>PRIMARY</x:v>
      </x:c>
      <x:c r="I28" s="66" t="str">
        <x:v>CURRENT DOC</x:v>
      </x:c>
      <x:c r="J28" s="65" t="str">
        <x:v>Source/rights evidence is not embedded</x:v>
      </x:c>
      <x:c r="K28" s="66" t="str">
        <x:v>2026-08-14</x:v>
      </x:c>
      <x:c r="L28" s="66" t="str">
        <x:v>Project Lead / UI-UX / Legal as applicable</x:v>
      </x:c>
      <x:c r="M28" s="66" t="str">
        <x:f>IF(COUNTA(A28:L28)&lt;12,"INCOMPLETE","PASS")</x:f>
        <x:v>PASS</x:v>
      </x:c>
    </x:row>
    <x:row r="29" ht="54" customHeight="1">
      <x:c r="A29" s="66" t="str">
        <x:v>REF-DOC-004</x:v>
      </x:c>
      <x:c r="B29" s="66" t="str">
        <x:v>Documentation</x:v>
      </x:c>
      <x:c r="C29" s="65" t="str">
        <x:v>docs/SEO_GUIDELINES.md</x:v>
      </x:c>
      <x:c r="D29" s="65" t="str">
        <x:v>Schema, noindex, metadata and launch checks</x:v>
      </x:c>
      <x:c r="E29" s="65" t="str">
        <x:v>Profile Detail; Blog; Global</x:v>
      </x:c>
      <x:c r="F29" s="65" t="str">
        <x:v>Indexing and metadata governance</x:v>
      </x:c>
      <x:c r="G29" s="66" t="str">
        <x:v>GLOBAL</x:v>
      </x:c>
      <x:c r="H29" s="66" t="str">
        <x:v>PRIMARY</x:v>
      </x:c>
      <x:c r="I29" s="66" t="str">
        <x:v>CURRENT DOC</x:v>
      </x:c>
      <x:c r="J29" s="65" t="str">
        <x:v>Production domain and raster social image remain open</x:v>
      </x:c>
      <x:c r="K29" s="66" t="str">
        <x:v>2026-08-14</x:v>
      </x:c>
      <x:c r="L29" s="66" t="str">
        <x:v>Project Lead / UI-UX / Legal as applicable</x:v>
      </x:c>
      <x:c r="M29" s="66" t="str">
        <x:f>IF(COUNTA(A29:L29)&lt;12,"INCOMPLETE","PASS")</x:f>
        <x:v>PASS</x:v>
      </x:c>
    </x:row>
    <x:row r="30" ht="54" customHeight="1">
      <x:c r="A30" s="66" t="str">
        <x:v>REF-AUDIT-001</x:v>
      </x:c>
      <x:c r="B30" s="66" t="str">
        <x:v>Generated audit</x:v>
      </x:c>
      <x:c r="C30" s="65" t="str">
        <x:v>codebase audit 2026-08-14</x:v>
      </x:c>
      <x:c r="D30" s="65" t="str">
        <x:v>91 text files + 18 assets + 21 routes</x:v>
      </x:c>
      <x:c r="E30" s="65" t="str">
        <x:v>All mapping/register rows</x:v>
      </x:c>
      <x:c r="F30" s="65" t="str">
        <x:v>Completeness evidence for the codebase scan</x:v>
      </x:c>
      <x:c r="G30" s="66" t="str">
        <x:v>GLOBAL</x:v>
      </x:c>
      <x:c r="H30" s="66" t="str">
        <x:v>PRIMARY</x:v>
      </x:c>
      <x:c r="I30" s="66" t="str">
        <x:v>COMPLETE READ-ONLY AUDIT</x:v>
      </x:c>
      <x:c r="J30" s="65" t="str">
        <x:v>Generated from the current local codebase; no code was modified</x:v>
      </x:c>
      <x:c r="K30" s="66" t="str">
        <x:v>2026-08-14</x:v>
      </x:c>
      <x:c r="L30" s="66" t="str">
        <x:v>Project Lead / UI-UX / Legal as applicable</x:v>
      </x:c>
      <x:c r="M30" s="66" t="str">
        <x:f>IF(COUNTA(A30:L30)&lt;12,"INCOMPLETE","PASS")</x:f>
        <x:v>PASS</x:v>
      </x:c>
    </x:row>
    <x:row r="31" ht="54" customHeight="1">
      <x:c r="A31" s="66" t="str">
        <x:v>REF-CTX-001</x:v>
      </x:c>
      <x:c r="B31" s="66" t="str">
        <x:v>Project decision context</x:v>
      </x:c>
      <x:c r="C31" s="65" t="str">
        <x:v>User confirmations in current project context</x:v>
      </x:c>
      <x:c r="D31" s="65" t="str">
        <x:v>Operator/year/location; dummy high-fidelity; 4 categories; preview-only articles; domain pending; Kultivate contact; pop-up; Resend-only</x:v>
      </x:c>
      <x:c r="E31" s="65" t="str">
        <x:v>Global; Home; Contact; Blog</x:v>
      </x:c>
      <x:c r="F31" s="65" t="str">
        <x:v>Resolves implementation labels without inventing facts</x:v>
      </x:c>
      <x:c r="G31" s="66" t="str">
        <x:v>GLOBAL</x:v>
      </x:c>
      <x:c r="H31" s="66" t="str">
        <x:v>PRIMARY</x:v>
      </x:c>
      <x:c r="I31" s="66" t="str">
        <x:v>CONFIRMED CONTEXT</x:v>
      </x:c>
      <x:c r="J31" s="65" t="str">
        <x:v>Registration number, public launch contacts, final domain, policies and approvals remain open</x:v>
      </x:c>
      <x:c r="K31" s="66" t="str">
        <x:v>2026-08-14</x:v>
      </x:c>
      <x:c r="L31" s="66" t="str">
        <x:v>Project Lead / UI-UX / Legal as applicable</x:v>
      </x:c>
      <x:c r="M31" s="66" t="str">
        <x:f>IF(COUNTA(A31:L31)&lt;12,"INCOMPLETE","PASS")</x:f>
        <x:v>PASS</x:v>
      </x:c>
    </x:row>
  </x:sheetData>
  <x:mergeCells>
    <x:mergeCell ref="A1:M1"/>
  </x:mergeCells>
  <x:conditionalFormatting sqref="H5:H31">
    <x:cfRule type="containsText" dxfId="32" priority="1" operator="containsText" text="PRIMARY"/>
  </x:conditionalFormatting>
  <x:conditionalFormatting sqref="I5:I31">
    <x:cfRule type="containsText" dxfId="33" priority="2" operator="containsText" text="PROTOTYPE"/>
  </x:conditionalFormatting>
  <x:conditionalFormatting sqref="M5:M31">
    <x:cfRule type="containsText" dxfId="34" priority="3" operator="containsText" text="PASS"/>
  </x:conditionalFormatting>
  <x:pageMargins left="0.7" right="0.7" top="0.75" bottom="0.75" header="0.3" footer="0.3"/>
  <x:tableParts count="1">
    <x:tablePart xmlns:r="http://schemas.openxmlformats.org/officeDocument/2006/relationships" r:id="Rb08196de1c3142dd"/>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0.25" hidden="0" customWidth="1"/>
    <x:col min="2" max="2" width="16.25" hidden="0" customWidth="1"/>
    <x:col min="3" max="3" width="21.8799991607666" hidden="0" customWidth="1"/>
    <x:col min="4" max="4" width="18.1299991607666" hidden="0" customWidth="1"/>
    <x:col min="5" max="5" width="18.1299991607666" hidden="0" customWidth="1"/>
    <x:col min="6" max="6" width="20" hidden="0" customWidth="1"/>
    <x:col min="7" max="7" width="11.25" hidden="0" customWidth="1"/>
    <x:col min="8" max="8" width="13.130000114440918" hidden="0" customWidth="1"/>
    <x:col min="9" max="9" width="10.630000114440918" hidden="0" customWidth="1"/>
    <x:col min="10" max="10" width="11.25" hidden="0" customWidth="1"/>
    <x:col min="11" max="11" width="13.75" hidden="0" customWidth="1"/>
    <x:col min="12" max="12" width="31.8799991607666" hidden="0" customWidth="1"/>
    <x:col min="13" max="13" width="16.8799991607666" hidden="0" customWidth="1"/>
    <x:col min="14" max="14" width="21.25" hidden="0" customWidth="1"/>
    <x:col min="15" max="15" width="13.75" hidden="0" customWidth="1"/>
    <x:col min="16" max="16" width="14.380000114440918" hidden="0" customWidth="1"/>
    <x:col min="17" max="17" width="27.5" hidden="0" customWidth="1"/>
    <x:col min="18" max="18" width="38.75" hidden="0" customWidth="1"/>
    <x:col min="19" max="19" width="30" hidden="0" customWidth="1"/>
    <x:col min="20" max="20" width="13.75" hidden="0" customWidth="1"/>
    <x:col min="21" max="21" width="12.5" hidden="0" customWidth="1"/>
  </x:cols>
  <x:sheetData>
    <x:row r="1" ht="25.5" customHeight="1">
      <x:c r="A1" s="51" t="str">
        <x:v>MAPPING QA / CHECKABILITY CONTROL</x:v>
      </x:c>
      <x:c r="B1" s="51"/>
      <x:c r="C1" s="51"/>
      <x:c r="D1" s="51"/>
      <x:c r="E1" s="51"/>
      <x:c r="F1" s="51"/>
      <x:c r="G1" s="51"/>
      <x:c r="H1" s="51"/>
      <x:c r="I1" s="51"/>
      <x:c r="J1" s="51"/>
      <x:c r="K1" s="51"/>
      <x:c r="L1" s="51"/>
      <x:c r="M1" s="51"/>
      <x:c r="N1" s="51"/>
      <x:c r="O1" s="51"/>
      <x:c r="P1" s="51"/>
      <x:c r="Q1" s="51"/>
      <x:c r="R1" s="51"/>
      <x:c r="S1" s="51"/>
      <x:c r="T1" s="51"/>
      <x:c r="U1" s="51"/>
    </x:row>
    <x:row r="2" ht="18.75" customHeight="1">
      <x:c r="A2" s="90" t="str">
        <x:v>Page-level QA that distinguishes completed internal mapping work from human review, copy approval, legal approval, evidence, consent, production configuration and launch readiness.</x:v>
      </x:c>
      <x:c r="B2" s="90"/>
      <x:c r="C2" s="90"/>
      <x:c r="D2" s="90"/>
      <x:c r="E2" s="90"/>
      <x:c r="F2" s="90"/>
      <x:c r="G2" s="90"/>
      <x:c r="H2" s="90"/>
      <x:c r="I2" s="90"/>
      <x:c r="J2" s="90"/>
      <x:c r="K2" s="90"/>
      <x:c r="L2" s="90"/>
      <x:c r="M2" s="90"/>
      <x:c r="N2" s="90"/>
      <x:c r="O2" s="90"/>
      <x:c r="P2" s="90"/>
      <x:c r="Q2" s="90"/>
      <x:c r="R2" s="90"/>
      <x:c r="S2" s="90"/>
      <x:c r="T2" s="90"/>
      <x:c r="U2" s="90"/>
    </x:row>
    <x:row r="3" ht="21" customHeight="1">
      <x:c r="A3" s="91" t="str">
        <x:v>The workbook does not self-approve. FINAL RESULT becomes CHECKABLE only after UI/UX Review and Approval Status are both APPROVED and the structural/asset/reference checks pass.</x:v>
      </x:c>
      <x:c r="B3" s="91"/>
      <x:c r="C3" s="91"/>
      <x:c r="D3" s="91"/>
      <x:c r="E3" s="91"/>
      <x:c r="F3" s="91"/>
      <x:c r="G3" s="91"/>
      <x:c r="H3" s="91"/>
      <x:c r="I3" s="91"/>
      <x:c r="J3" s="91"/>
      <x:c r="K3" s="91"/>
      <x:c r="L3" s="91"/>
      <x:c r="M3" s="91"/>
      <x:c r="N3" s="91"/>
      <x:c r="O3" s="91"/>
      <x:c r="P3" s="91"/>
      <x:c r="Q3" s="91"/>
      <x:c r="R3" s="91"/>
      <x:c r="S3" s="91"/>
      <x:c r="T3" s="91"/>
      <x:c r="U3" s="91"/>
    </x:row>
    <x:row r="4" ht="31.5" customHeight="1">
      <x:c r="A4" s="62" t="str">
        <x:v>QA ID</x:v>
      </x:c>
      <x:c r="B4" s="62" t="str">
        <x:v>Page</x:v>
      </x:c>
      <x:c r="C4" s="62" t="str">
        <x:v>Lifecycle</x:v>
      </x:c>
      <x:c r="D4" s="62" t="str">
        <x:v>Route ID</x:v>
      </x:c>
      <x:c r="E4" s="62" t="str">
        <x:v>Route EN</x:v>
      </x:c>
      <x:c r="F4" s="62" t="str">
        <x:v>Route Status</x:v>
      </x:c>
      <x:c r="G4" s="62" t="str">
        <x:v>Content Blocks</x:v>
      </x:c>
      <x:c r="H4" s="62" t="str">
        <x:v>Website-only Blocks</x:v>
      </x:c>
      <x:c r="I4" s="62" t="str">
        <x:v>Copy Ready</x:v>
      </x:c>
      <x:c r="J4" s="62" t="str">
        <x:v>Copy Blocked</x:v>
      </x:c>
      <x:c r="K4" s="62" t="str">
        <x:v>Structure QA</x:v>
      </x:c>
      <x:c r="L4" s="62" t="str">
        <x:v>Implementation Match</x:v>
      </x:c>
      <x:c r="M4" s="62" t="str">
        <x:v>Asset / Reference QA</x:v>
      </x:c>
      <x:c r="N4" s="62" t="str">
        <x:v>Wireframe State</x:v>
      </x:c>
      <x:c r="O4" s="62" t="str">
        <x:v>UI/UX Review</x:v>
      </x:c>
      <x:c r="P4" s="62" t="str">
        <x:v>Approval Status</x:v>
      </x:c>
      <x:c r="Q4" s="62" t="str">
        <x:v>Open Blocker</x:v>
      </x:c>
      <x:c r="R4" s="62" t="str">
        <x:v>Recommended Action</x:v>
      </x:c>
      <x:c r="S4" s="62" t="str">
        <x:v>Final Result</x:v>
      </x:c>
      <x:c r="T4" s="62" t="str">
        <x:v>Reviewer</x:v>
      </x:c>
      <x:c r="U4" s="62" t="str">
        <x:v>Review Date</x:v>
      </x:c>
    </x:row>
    <x:row r="5" ht="57" customHeight="1">
      <x:c r="A5" s="66" t="str">
        <x:v>MQA-01</x:v>
      </x:c>
      <x:c r="B5" s="66" t="str">
        <x:v>GLOBAL</x:v>
      </x:c>
      <x:c r="C5" s="66" t="str">
        <x:v>CURRENT</x:v>
      </x:c>
      <x:c r="D5" s="66" t="str">
        <x:v>N/A</x:v>
      </x:c>
      <x:c r="E5" s="66" t="str">
        <x:v>N/A</x:v>
      </x:c>
      <x:c r="F5" s="66" t="str">
        <x:v>N/A</x:v>
      </x:c>
      <x:c r="G5" s="66" t="n">
        <x:f>COUNTIFS('09_Page_Section_Mapping'!$B$5:$B$50,"CONTENT BLOCK",'09_Page_Section_Mapping'!$D$5:$D$50,B5)</x:f>
        <x:v>0</x:v>
      </x:c>
      <x:c r="H5" s="66" t="n">
        <x:f>COUNTIFS('09_Page_Section_Mapping'!$B$5:$B$50,"WEBSITE-ONLY",'09_Page_Section_Mapping'!$D$5:$D$50,B5)</x:f>
        <x:v>0</x:v>
      </x:c>
      <x:c r="I5" s="66" t="n">
        <x:f>COUNTIFS('09_Page_Section_Mapping'!$B$5:$B$50,"CONTENT BLOCK",'09_Page_Section_Mapping'!$D$5:$D$50,B5,'09_Page_Section_Mapping'!$U$5:$U$50,"READY FOR CONTENT APPROVAL")</x:f>
        <x:v>0</x:v>
      </x:c>
      <x:c r="J5" s="66" t="n">
        <x:f>G5-I5</x:f>
        <x:v>0</x:v>
      </x:c>
      <x:c r="K5" s="66" t="str">
        <x:f>IF(B5="GLOBAL","N/A",IF(COUNTIFS('09_Page_Section_Mapping'!$D$5:$D$50,B5,'09_Page_Section_Mapping'!$AB$5:$AB$50,"&lt;&gt;PASS – STRUCTURE")=0,"PASS","FAIL"))</x:f>
        <x:v>N/A</x:v>
      </x:c>
      <x:c r="L5" s="65" t="str">
        <x:v>PARTIAL – SITE.TS PLACEHOLDERS; LEGAL PAGES ABSENT</x:v>
      </x:c>
      <x:c r="M5" s="66" t="str">
        <x:f>IF(B5="GLOBAL","SEE REGISTERS",IF(COUNTIFS('09_Page_Section_Mapping'!$D$5:$D$50,B5,'09_Page_Section_Mapping'!$O$5:$O$50,"")+COUNTIFS('09_Page_Section_Mapping'!$D$5:$D$50,B5,'09_Page_Section_Mapping'!$P$5:$P$50,"")=0,"PASS","FAIL"))</x:f>
        <x:v>SEE REGISTERS</x:v>
      </x:c>
      <x:c r="N5" s="66" t="str">
        <x:v>NOT REVIEWED / SEE MAPPING</x:v>
      </x:c>
      <x:c r="O5" s="66" t="str">
        <x:v>NOT REVIEWED</x:v>
      </x:c>
      <x:c r="P5" s="66" t="str">
        <x:v>NOT APPROVED</x:v>
      </x:c>
      <x:c r="Q5" s="65" t="str">
        <x:v>LEGAL/CONTACT/DOMAIN OPEN</x:v>
      </x:c>
      <x:c r="R5" s="65" t="str">
        <x:v>Confirm launch contacts, domain, Privacy, Terms, and approved global labels.</x:v>
      </x:c>
      <x:c r="S5" s="66" t="str">
        <x:f>IF(OR(O5&lt;&gt;"APPROVED",P5&lt;&gt;"APPROVED"),"NOT CHECKABLE – REVIEW/APPROVAL PENDING",IF(OR(K5="FAIL",M5="FAIL"),"NOT CHECKABLE – MAPPING GAP","CHECKABLE"))</x:f>
        <x:v>NOT CHECKABLE – REVIEW/APPROVAL PENDING</x:v>
      </x:c>
      <x:c r="T5" s="66" t="str"/>
      <x:c r="U5" s="66" t="str"/>
    </x:row>
    <x:row r="6" ht="57" customHeight="1">
      <x:c r="A6" s="66" t="str">
        <x:v>MQA-02</x:v>
      </x:c>
      <x:c r="B6" s="66" t="str">
        <x:v>Home</x:v>
      </x:c>
      <x:c r="C6" s="66" t="str">
        <x:v>CURRENT + PROTOTYPE/PREVIEW</x:v>
      </x:c>
      <x:c r="D6" s="66" t="str">
        <x:v>/id/</x:v>
      </x:c>
      <x:c r="E6" s="66" t="str">
        <x:v>/en/</x:v>
      </x:c>
      <x:c r="F6" s="66" t="str">
        <x:v>EXISTS</x:v>
      </x:c>
      <x:c r="G6" s="66" t="n">
        <x:f>COUNTIFS('09_Page_Section_Mapping'!$B$5:$B$50,"CONTENT BLOCK",'09_Page_Section_Mapping'!$D$5:$D$50,B6)</x:f>
        <x:v>12</x:v>
      </x:c>
      <x:c r="H6" s="66" t="n">
        <x:f>COUNTIFS('09_Page_Section_Mapping'!$B$5:$B$50,"WEBSITE-ONLY",'09_Page_Section_Mapping'!$D$5:$D$50,B6)</x:f>
        <x:v>2</x:v>
      </x:c>
      <x:c r="I6" s="66" t="n">
        <x:f>COUNTIFS('09_Page_Section_Mapping'!$B$5:$B$50,"CONTENT BLOCK",'09_Page_Section_Mapping'!$D$5:$D$50,B6,'09_Page_Section_Mapping'!$U$5:$U$50,"READY FOR CONTENT APPROVAL")</x:f>
        <x:v>11</x:v>
      </x:c>
      <x:c r="J6" s="66" t="n">
        <x:f>G6-I6</x:f>
        <x:v>1</x:v>
      </x:c>
      <x:c r="K6" s="66" t="str">
        <x:f>IF(B6="GLOBAL","N/A",IF(COUNTIFS('09_Page_Section_Mapping'!$D$5:$D$50,B6,'09_Page_Section_Mapping'!$AB$5:$AB$50,"&lt;&gt;PASS – STRUCTURE")=0,"PASS","FAIL"))</x:f>
        <x:v>PASS</x:v>
      </x:c>
      <x:c r="L6" s="65" t="str">
        <x:v>PARTIAL – H-002 MISSING; 4/15 SERVICE MISMATCH; 2 WEBSITE-ONLY PROTOTYPES</x:v>
      </x:c>
      <x:c r="M6" s="66" t="str">
        <x:f>IF(B6="GLOBAL","SEE REGISTERS",IF(COUNTIFS('09_Page_Section_Mapping'!$D$5:$D$50,B6,'09_Page_Section_Mapping'!$O$5:$O$50,"")+COUNTIFS('09_Page_Section_Mapping'!$D$5:$D$50,B6,'09_Page_Section_Mapping'!$P$5:$P$50,"")=0,"PASS","FAIL"))</x:f>
        <x:v>PASS</x:v>
      </x:c>
      <x:c r="N6" s="66" t="str">
        <x:v>NOT REVIEWED / SEE MAPPING</x:v>
      </x:c>
      <x:c r="O6" s="66" t="str">
        <x:v>NOT REVIEWED</x:v>
      </x:c>
      <x:c r="P6" s="66" t="str">
        <x:v>NOT APPROVED</x:v>
      </x:c>
      <x:c r="Q6" s="65" t="str">
        <x:v>COPY/EVIDENCE/UI-UX OPEN</x:v>
      </x:c>
      <x:c r="R6" s="65" t="str">
        <x:v>Resolve problem-section decision, convert service rail to four categories, and gate dummy previews.</x:v>
      </x:c>
      <x:c r="S6" s="66" t="str">
        <x:f>IF(OR(O6&lt;&gt;"APPROVED",P6&lt;&gt;"APPROVED"),"NOT CHECKABLE – REVIEW/APPROVAL PENDING",IF(OR(K6="FAIL",M6="FAIL"),"NOT CHECKABLE – MAPPING GAP","CHECKABLE"))</x:f>
        <x:v>NOT CHECKABLE – REVIEW/APPROVAL PENDING</x:v>
      </x:c>
      <x:c r="T6" s="66" t="str"/>
      <x:c r="U6" s="66" t="str"/>
    </x:row>
    <x:row r="7" ht="57" customHeight="1">
      <x:c r="A7" s="66" t="str">
        <x:v>MQA-03</x:v>
      </x:c>
      <x:c r="B7" s="66" t="str">
        <x:v>Profile</x:v>
      </x:c>
      <x:c r="C7" s="66" t="str">
        <x:v>CURRENT + PROTOTYPE</x:v>
      </x:c>
      <x:c r="D7" s="66" t="str">
        <x:v>/id/profile/</x:v>
      </x:c>
      <x:c r="E7" s="66" t="str">
        <x:v>/en/profile/</x:v>
      </x:c>
      <x:c r="F7" s="66" t="str">
        <x:v>EXISTS</x:v>
      </x:c>
      <x:c r="G7" s="66" t="n">
        <x:f>COUNTIFS('09_Page_Section_Mapping'!$B$5:$B$50,"CONTENT BLOCK",'09_Page_Section_Mapping'!$D$5:$D$50,B7)</x:f>
        <x:v>6</x:v>
      </x:c>
      <x:c r="H7" s="66" t="n">
        <x:f>COUNTIFS('09_Page_Section_Mapping'!$B$5:$B$50,"WEBSITE-ONLY",'09_Page_Section_Mapping'!$D$5:$D$50,B7)</x:f>
        <x:v>0</x:v>
      </x:c>
      <x:c r="I7" s="66" t="n">
        <x:f>COUNTIFS('09_Page_Section_Mapping'!$B$5:$B$50,"CONTENT BLOCK",'09_Page_Section_Mapping'!$D$5:$D$50,B7,'09_Page_Section_Mapping'!$U$5:$U$50,"READY FOR CONTENT APPROVAL")</x:f>
        <x:v>5</x:v>
      </x:c>
      <x:c r="J7" s="66" t="n">
        <x:f>G7-I7</x:f>
        <x:v>1</x:v>
      </x:c>
      <x:c r="K7" s="66" t="str">
        <x:f>IF(B7="GLOBAL","N/A",IF(COUNTIFS('09_Page_Section_Mapping'!$D$5:$D$50,B7,'09_Page_Section_Mapping'!$AB$5:$AB$50,"&lt;&gt;PASS – STRUCTURE")=0,"PASS","FAIL"))</x:f>
        <x:v>PASS</x:v>
      </x:c>
      <x:c r="L7" s="65" t="str">
        <x:v>PARTIAL – P-004 MISSING; TEAM/IDENTITY PLACEHOLDERS</x:v>
      </x:c>
      <x:c r="M7" s="66" t="str">
        <x:f>IF(B7="GLOBAL","SEE REGISTERS",IF(COUNTIFS('09_Page_Section_Mapping'!$D$5:$D$50,B7,'09_Page_Section_Mapping'!$O$5:$O$50,"")+COUNTIFS('09_Page_Section_Mapping'!$D$5:$D$50,B7,'09_Page_Section_Mapping'!$P$5:$P$50,"")=0,"PASS","FAIL"))</x:f>
        <x:v>PASS</x:v>
      </x:c>
      <x:c r="N7" s="66" t="str">
        <x:v>NOT REVIEWED / SEE MAPPING</x:v>
      </x:c>
      <x:c r="O7" s="66" t="str">
        <x:v>NOT REVIEWED</x:v>
      </x:c>
      <x:c r="P7" s="66" t="str">
        <x:v>NOT APPROVED</x:v>
      </x:c>
      <x:c r="Q7" s="65" t="str">
        <x:v>TEAM/IDENTITY/UI-UX OPEN</x:v>
      </x:c>
      <x:c r="R7" s="65" t="str">
        <x:v>Apply confirmed identity, decide P-003/P-004 structure, and remove/replace dummy team before launch.</x:v>
      </x:c>
      <x:c r="S7" s="66" t="str">
        <x:f>IF(OR(O7&lt;&gt;"APPROVED",P7&lt;&gt;"APPROVED"),"NOT CHECKABLE – REVIEW/APPROVAL PENDING",IF(OR(K7="FAIL",M7="FAIL"),"NOT CHECKABLE – MAPPING GAP","CHECKABLE"))</x:f>
        <x:v>NOT CHECKABLE – REVIEW/APPROVAL PENDING</x:v>
      </x:c>
      <x:c r="T7" s="66" t="str"/>
      <x:c r="U7" s="66" t="str"/>
    </x:row>
    <x:row r="8" ht="57" customHeight="1">
      <x:c r="A8" s="66" t="str">
        <x:v>MQA-04</x:v>
      </x:c>
      <x:c r="B8" s="66" t="str">
        <x:v>Profile Detail</x:v>
      </x:c>
      <x:c r="C8" s="66" t="str">
        <x:v>CURRENT PROTOTYPE / NOINDEX</x:v>
      </x:c>
      <x:c r="D8" s="66" t="str">
        <x:v>/id/profile/[slug]/</x:v>
      </x:c>
      <x:c r="E8" s="66" t="str">
        <x:v>/en/profile/[slug]/</x:v>
      </x:c>
      <x:c r="F8" s="66" t="str">
        <x:v>EXISTS / NOINDEX</x:v>
      </x:c>
      <x:c r="G8" s="66" t="n">
        <x:f>COUNTIFS('09_Page_Section_Mapping'!$B$5:$B$50,"CONTENT BLOCK",'09_Page_Section_Mapping'!$D$5:$D$50,B8)</x:f>
        <x:v>1</x:v>
      </x:c>
      <x:c r="H8" s="66" t="n">
        <x:f>COUNTIFS('09_Page_Section_Mapping'!$B$5:$B$50,"WEBSITE-ONLY",'09_Page_Section_Mapping'!$D$5:$D$50,B8)</x:f>
        <x:v>0</x:v>
      </x:c>
      <x:c r="I8" s="66" t="n">
        <x:f>COUNTIFS('09_Page_Section_Mapping'!$B$5:$B$50,"CONTENT BLOCK",'09_Page_Section_Mapping'!$D$5:$D$50,B8,'09_Page_Section_Mapping'!$U$5:$U$50,"READY FOR CONTENT APPROVAL")</x:f>
        <x:v>0</x:v>
      </x:c>
      <x:c r="J8" s="66" t="n">
        <x:f>G8-I8</x:f>
        <x:v>1</x:v>
      </x:c>
      <x:c r="K8" s="66" t="str">
        <x:f>IF(B8="GLOBAL","N/A",IF(COUNTIFS('09_Page_Section_Mapping'!$D$5:$D$50,B8,'09_Page_Section_Mapping'!$AB$5:$AB$50,"&lt;&gt;PASS – STRUCTURE")=0,"PASS","FAIL"))</x:f>
        <x:v>PASS</x:v>
      </x:c>
      <x:c r="L8" s="65" t="str">
        <x:v>PROTOTYPE – DUMMY IDENTITIES</x:v>
      </x:c>
      <x:c r="M8" s="66" t="str">
        <x:f>IF(B8="GLOBAL","SEE REGISTERS",IF(COUNTIFS('09_Page_Section_Mapping'!$D$5:$D$50,B8,'09_Page_Section_Mapping'!$O$5:$O$50,"")+COUNTIFS('09_Page_Section_Mapping'!$D$5:$D$50,B8,'09_Page_Section_Mapping'!$P$5:$P$50,"")=0,"PASS","FAIL"))</x:f>
        <x:v>PASS</x:v>
      </x:c>
      <x:c r="N8" s="66" t="str">
        <x:v>NOT REVIEWED / SEE MAPPING</x:v>
      </x:c>
      <x:c r="O8" s="66" t="str">
        <x:v>NOT REVIEWED</x:v>
      </x:c>
      <x:c r="P8" s="66" t="str">
        <x:v>NOT APPROVED</x:v>
      </x:c>
      <x:c r="Q8" s="65" t="str">
        <x:v>VERIFICATION/CONSENT OPEN</x:v>
      </x:c>
      <x:c r="R8" s="65" t="str">
        <x:v>Keep noindex; replace with verified professionals or remove routes.</x:v>
      </x:c>
      <x:c r="S8" s="66" t="str">
        <x:f>IF(OR(O8&lt;&gt;"APPROVED",P8&lt;&gt;"APPROVED"),"NOT CHECKABLE – REVIEW/APPROVAL PENDING",IF(OR(K8="FAIL",M8="FAIL"),"NOT CHECKABLE – MAPPING GAP","CHECKABLE"))</x:f>
        <x:v>NOT CHECKABLE – REVIEW/APPROVAL PENDING</x:v>
      </x:c>
      <x:c r="T8" s="66" t="str"/>
      <x:c r="U8" s="66" t="str"/>
    </x:row>
    <x:row r="9" ht="57" customHeight="1">
      <x:c r="A9" s="66" t="str">
        <x:v>MQA-05</x:v>
      </x:c>
      <x:c r="B9" s="66" t="str">
        <x:v>Services</x:v>
      </x:c>
      <x:c r="C9" s="66" t="str">
        <x:v>CURRENT</x:v>
      </x:c>
      <x:c r="D9" s="66" t="str">
        <x:v>/id/services/</x:v>
      </x:c>
      <x:c r="E9" s="66" t="str">
        <x:v>/en/services/</x:v>
      </x:c>
      <x:c r="F9" s="66" t="str">
        <x:v>EXISTS</x:v>
      </x:c>
      <x:c r="G9" s="66" t="n">
        <x:f>COUNTIFS('09_Page_Section_Mapping'!$B$5:$B$50,"CONTENT BLOCK",'09_Page_Section_Mapping'!$D$5:$D$50,B9)</x:f>
        <x:v>8</x:v>
      </x:c>
      <x:c r="H9" s="66" t="n">
        <x:f>COUNTIFS('09_Page_Section_Mapping'!$B$5:$B$50,"WEBSITE-ONLY",'09_Page_Section_Mapping'!$D$5:$D$50,B9)</x:f>
        <x:v>0</x:v>
      </x:c>
      <x:c r="I9" s="66" t="n">
        <x:f>COUNTIFS('09_Page_Section_Mapping'!$B$5:$B$50,"CONTENT BLOCK",'09_Page_Section_Mapping'!$D$5:$D$50,B9,'09_Page_Section_Mapping'!$U$5:$U$50,"READY FOR CONTENT APPROVAL")</x:f>
        <x:v>8</x:v>
      </x:c>
      <x:c r="J9" s="66" t="n">
        <x:f>G9-I9</x:f>
        <x:v>0</x:v>
      </x:c>
      <x:c r="K9" s="66" t="str">
        <x:f>IF(B9="GLOBAL","N/A",IF(COUNTIFS('09_Page_Section_Mapping'!$D$5:$D$50,B9,'09_Page_Section_Mapping'!$AB$5:$AB$50,"&lt;&gt;PASS – STRUCTURE")=0,"PASS","FAIL"))</x:f>
        <x:v>PASS</x:v>
      </x:c>
      <x:c r="L9" s="65" t="str">
        <x:v>PARTIAL – S-002 AND S-007 MISSING</x:v>
      </x:c>
      <x:c r="M9" s="66" t="str">
        <x:f>IF(B9="GLOBAL","SEE REGISTERS",IF(COUNTIFS('09_Page_Section_Mapping'!$D$5:$D$50,B9,'09_Page_Section_Mapping'!$O$5:$O$50,"")+COUNTIFS('09_Page_Section_Mapping'!$D$5:$D$50,B9,'09_Page_Section_Mapping'!$P$5:$P$50,"")=0,"PASS","FAIL"))</x:f>
        <x:v>PASS</x:v>
      </x:c>
      <x:c r="N9" s="66" t="str">
        <x:v>NOT REVIEWED / SEE MAPPING</x:v>
      </x:c>
      <x:c r="O9" s="66" t="str">
        <x:v>NOT REVIEWED</x:v>
      </x:c>
      <x:c r="P9" s="66" t="str">
        <x:v>NOT APPROVED</x:v>
      </x:c>
      <x:c r="Q9" s="65" t="str">
        <x:v>COPY/UI-UX/SCOPE OPEN</x:v>
      </x:c>
      <x:c r="R9" s="65" t="str">
        <x:v>Create or merge decision guide and initial-information blocks; retain category-level scope boundary.</x:v>
      </x:c>
      <x:c r="S9" s="66" t="str">
        <x:f>IF(OR(O9&lt;&gt;"APPROVED",P9&lt;&gt;"APPROVED"),"NOT CHECKABLE – REVIEW/APPROVAL PENDING",IF(OR(K9="FAIL",M9="FAIL"),"NOT CHECKABLE – MAPPING GAP","CHECKABLE"))</x:f>
        <x:v>NOT CHECKABLE – REVIEW/APPROVAL PENDING</x:v>
      </x:c>
      <x:c r="T9" s="66" t="str"/>
      <x:c r="U9" s="66" t="str"/>
    </x:row>
    <x:row r="10" ht="57" customHeight="1">
      <x:c r="A10" s="66" t="str">
        <x:v>MQA-06</x:v>
      </x:c>
      <x:c r="B10" s="66" t="str">
        <x:v>Our Experiences</x:v>
      </x:c>
      <x:c r="C10" s="66" t="str">
        <x:v>CURRENT PROTOTYPE</x:v>
      </x:c>
      <x:c r="D10" s="66" t="str">
        <x:v>/id/projects/</x:v>
      </x:c>
      <x:c r="E10" s="66" t="str">
        <x:v>/en/projects/</x:v>
      </x:c>
      <x:c r="F10" s="66" t="str">
        <x:v>EXISTS / PROTOTYPE</x:v>
      </x:c>
      <x:c r="G10" s="66" t="n">
        <x:f>COUNTIFS('09_Page_Section_Mapping'!$B$5:$B$50,"CONTENT BLOCK",'09_Page_Section_Mapping'!$D$5:$D$50,B10)</x:f>
        <x:v>2</x:v>
      </x:c>
      <x:c r="H10" s="66" t="n">
        <x:f>COUNTIFS('09_Page_Section_Mapping'!$B$5:$B$50,"WEBSITE-ONLY",'09_Page_Section_Mapping'!$D$5:$D$50,B10)</x:f>
        <x:v>0</x:v>
      </x:c>
      <x:c r="I10" s="66" t="n">
        <x:f>COUNTIFS('09_Page_Section_Mapping'!$B$5:$B$50,"CONTENT BLOCK",'09_Page_Section_Mapping'!$D$5:$D$50,B10,'09_Page_Section_Mapping'!$U$5:$U$50,"READY FOR CONTENT APPROVAL")</x:f>
        <x:v>0</x:v>
      </x:c>
      <x:c r="J10" s="66" t="n">
        <x:f>G10-I10</x:f>
        <x:v>2</x:v>
      </x:c>
      <x:c r="K10" s="66" t="str">
        <x:f>IF(B10="GLOBAL","N/A",IF(COUNTIFS('09_Page_Section_Mapping'!$D$5:$D$50,B10,'09_Page_Section_Mapping'!$AB$5:$AB$50,"&lt;&gt;PASS – STRUCTURE")=0,"PASS","FAIL"))</x:f>
        <x:v>PASS</x:v>
      </x:c>
      <x:c r="L10" s="65" t="str">
        <x:v>PROTOTYPE – NO APPROVED CASES</x:v>
      </x:c>
      <x:c r="M10" s="66" t="str">
        <x:f>IF(B10="GLOBAL","SEE REGISTERS",IF(COUNTIFS('09_Page_Section_Mapping'!$D$5:$D$50,B10,'09_Page_Section_Mapping'!$O$5:$O$50,"")+COUNTIFS('09_Page_Section_Mapping'!$D$5:$D$50,B10,'09_Page_Section_Mapping'!$P$5:$P$50,"")=0,"PASS","FAIL"))</x:f>
        <x:v>PASS</x:v>
      </x:c>
      <x:c r="N10" s="66" t="str">
        <x:v>NOT REVIEWED / SEE MAPPING</x:v>
      </x:c>
      <x:c r="O10" s="66" t="str">
        <x:v>NOT REVIEWED</x:v>
      </x:c>
      <x:c r="P10" s="66" t="str">
        <x:v>NOT APPROVED</x:v>
      </x:c>
      <x:c r="Q10" s="65" t="str">
        <x:v>EVIDENCE/CONSENT OPEN</x:v>
      </x:c>
      <x:c r="R10" s="65" t="str">
        <x:v>Remove from launch or populate only approved, confidentiality-safe cases.</x:v>
      </x:c>
      <x:c r="S10" s="66" t="str">
        <x:f>IF(OR(O10&lt;&gt;"APPROVED",P10&lt;&gt;"APPROVED"),"NOT CHECKABLE – REVIEW/APPROVAL PENDING",IF(OR(K10="FAIL",M10="FAIL"),"NOT CHECKABLE – MAPPING GAP","CHECKABLE"))</x:f>
        <x:v>NOT CHECKABLE – REVIEW/APPROVAL PENDING</x:v>
      </x:c>
      <x:c r="T10" s="66" t="str"/>
      <x:c r="U10" s="66" t="str"/>
    </x:row>
    <x:row r="11" ht="57" customHeight="1">
      <x:c r="A11" s="66" t="str">
        <x:v>MQA-07</x:v>
      </x:c>
      <x:c r="B11" s="66" t="str">
        <x:v>Blog</x:v>
      </x:c>
      <x:c r="C11" s="66" t="str">
        <x:v>CURRENT PREVIEW</x:v>
      </x:c>
      <x:c r="D11" s="66" t="str">
        <x:v>/id/blog/</x:v>
      </x:c>
      <x:c r="E11" s="66" t="str">
        <x:v>/en/blog/</x:v>
      </x:c>
      <x:c r="F11" s="66" t="str">
        <x:v>EXISTS / PREVIEW</x:v>
      </x:c>
      <x:c r="G11" s="66" t="n">
        <x:f>COUNTIFS('09_Page_Section_Mapping'!$B$5:$B$50,"CONTENT BLOCK",'09_Page_Section_Mapping'!$D$5:$D$50,B11)</x:f>
        <x:v>2</x:v>
      </x:c>
      <x:c r="H11" s="66" t="n">
        <x:f>COUNTIFS('09_Page_Section_Mapping'!$B$5:$B$50,"WEBSITE-ONLY",'09_Page_Section_Mapping'!$D$5:$D$50,B11)</x:f>
        <x:v>0</x:v>
      </x:c>
      <x:c r="I11" s="66" t="n">
        <x:f>COUNTIFS('09_Page_Section_Mapping'!$B$5:$B$50,"CONTENT BLOCK",'09_Page_Section_Mapping'!$D$5:$D$50,B11,'09_Page_Section_Mapping'!$U$5:$U$50,"READY FOR CONTENT APPROVAL")</x:f>
        <x:v>1</x:v>
      </x:c>
      <x:c r="J11" s="66" t="n">
        <x:f>G11-I11</x:f>
        <x:v>1</x:v>
      </x:c>
      <x:c r="K11" s="66" t="str">
        <x:f>IF(B11="GLOBAL","N/A",IF(COUNTIFS('09_Page_Section_Mapping'!$D$5:$D$50,B11,'09_Page_Section_Mapping'!$AB$5:$AB$50,"&lt;&gt;PASS – STRUCTURE")=0,"PASS","FAIL"))</x:f>
        <x:v>PASS</x:v>
      </x:c>
      <x:c r="L11" s="65" t="str">
        <x:v>PREVIEW – ARTICLES NOT APPROVED</x:v>
      </x:c>
      <x:c r="M11" s="66" t="str">
        <x:f>IF(B11="GLOBAL","SEE REGISTERS",IF(COUNTIFS('09_Page_Section_Mapping'!$D$5:$D$50,B11,'09_Page_Section_Mapping'!$O$5:$O$50,"")+COUNTIFS('09_Page_Section_Mapping'!$D$5:$D$50,B11,'09_Page_Section_Mapping'!$P$5:$P$50,"")=0,"PASS","FAIL"))</x:f>
        <x:v>PASS</x:v>
      </x:c>
      <x:c r="N11" s="66" t="str">
        <x:v>NOT REVIEWED / SEE MAPPING</x:v>
      </x:c>
      <x:c r="O11" s="66" t="str">
        <x:v>NOT REVIEWED</x:v>
      </x:c>
      <x:c r="P11" s="66" t="str">
        <x:v>NOT APPROVED</x:v>
      </x:c>
      <x:c r="Q11" s="65" t="str">
        <x:v>EDITORIAL/LEGAL REVIEW OPEN</x:v>
      </x:c>
      <x:c r="R11" s="65" t="str">
        <x:v>Keep preview-only until articles are reviewed; exclude from launch if review is incomplete.</x:v>
      </x:c>
      <x:c r="S11" s="66" t="str">
        <x:f>IF(OR(O11&lt;&gt;"APPROVED",P11&lt;&gt;"APPROVED"),"NOT CHECKABLE – REVIEW/APPROVAL PENDING",IF(OR(K11="FAIL",M11="FAIL"),"NOT CHECKABLE – MAPPING GAP","CHECKABLE"))</x:f>
        <x:v>NOT CHECKABLE – REVIEW/APPROVAL PENDING</x:v>
      </x:c>
      <x:c r="T11" s="66" t="str"/>
      <x:c r="U11" s="66" t="str"/>
    </x:row>
    <x:row r="12" ht="57" customHeight="1">
      <x:c r="A12" s="66" t="str">
        <x:v>MQA-08</x:v>
      </x:c>
      <x:c r="B12" s="66" t="str">
        <x:v>Article Detail</x:v>
      </x:c>
      <x:c r="C12" s="66" t="str">
        <x:v>CURRENT PREVIEW</x:v>
      </x:c>
      <x:c r="D12" s="66" t="str">
        <x:v>/id/blog/[slug]/</x:v>
      </x:c>
      <x:c r="E12" s="66" t="str">
        <x:v>/en/blog/[slug]/</x:v>
      </x:c>
      <x:c r="F12" s="66" t="str">
        <x:v>EXISTS / PREVIEW</x:v>
      </x:c>
      <x:c r="G12" s="66" t="n">
        <x:f>COUNTIFS('09_Page_Section_Mapping'!$B$5:$B$50,"CONTENT BLOCK",'09_Page_Section_Mapping'!$D$5:$D$50,B12)</x:f>
        <x:v>1</x:v>
      </x:c>
      <x:c r="H12" s="66" t="n">
        <x:f>COUNTIFS('09_Page_Section_Mapping'!$B$5:$B$50,"WEBSITE-ONLY",'09_Page_Section_Mapping'!$D$5:$D$50,B12)</x:f>
        <x:v>0</x:v>
      </x:c>
      <x:c r="I12" s="66" t="n">
        <x:f>COUNTIFS('09_Page_Section_Mapping'!$B$5:$B$50,"CONTENT BLOCK",'09_Page_Section_Mapping'!$D$5:$D$50,B12,'09_Page_Section_Mapping'!$U$5:$U$50,"READY FOR CONTENT APPROVAL")</x:f>
        <x:v>0</x:v>
      </x:c>
      <x:c r="J12" s="66" t="n">
        <x:f>G12-I12</x:f>
        <x:v>1</x:v>
      </x:c>
      <x:c r="K12" s="66" t="str">
        <x:f>IF(B12="GLOBAL","N/A",IF(COUNTIFS('09_Page_Section_Mapping'!$D$5:$D$50,B12,'09_Page_Section_Mapping'!$AB$5:$AB$50,"&lt;&gt;PASS – STRUCTURE")=0,"PASS","FAIL"))</x:f>
        <x:v>PASS</x:v>
      </x:c>
      <x:c r="L12" s="65" t="str">
        <x:v>PREVIEW – REVIEW METADATA MISSING</x:v>
      </x:c>
      <x:c r="M12" s="66" t="str">
        <x:f>IF(B12="GLOBAL","SEE REGISTERS",IF(COUNTIFS('09_Page_Section_Mapping'!$D$5:$D$50,B12,'09_Page_Section_Mapping'!$O$5:$O$50,"")+COUNTIFS('09_Page_Section_Mapping'!$D$5:$D$50,B12,'09_Page_Section_Mapping'!$P$5:$P$50,"")=0,"PASS","FAIL"))</x:f>
        <x:v>PASS</x:v>
      </x:c>
      <x:c r="N12" s="66" t="str">
        <x:v>NOT REVIEWED / SEE MAPPING</x:v>
      </x:c>
      <x:c r="O12" s="66" t="str">
        <x:v>NOT REVIEWED</x:v>
      </x:c>
      <x:c r="P12" s="66" t="str">
        <x:v>NOT APPROVED</x:v>
      </x:c>
      <x:c r="Q12" s="65" t="str">
        <x:v>EDITORIAL/LEGAL REVIEW OPEN</x:v>
      </x:c>
      <x:c r="R12" s="65" t="str">
        <x:v>Require source, reviewer, review date, applicability and legal sign-off for each article.</x:v>
      </x:c>
      <x:c r="S12" s="66" t="str">
        <x:f>IF(OR(O12&lt;&gt;"APPROVED",P12&lt;&gt;"APPROVED"),"NOT CHECKABLE – REVIEW/APPROVAL PENDING",IF(OR(K12="FAIL",M12="FAIL"),"NOT CHECKABLE – MAPPING GAP","CHECKABLE"))</x:f>
        <x:v>NOT CHECKABLE – REVIEW/APPROVAL PENDING</x:v>
      </x:c>
      <x:c r="T12" s="66" t="str"/>
      <x:c r="U12" s="66" t="str"/>
    </x:row>
    <x:row r="13" ht="57" customHeight="1">
      <x:c r="A13" s="66" t="str">
        <x:v>MQA-09</x:v>
      </x:c>
      <x:c r="B13" s="66" t="str">
        <x:v>Contact</x:v>
      </x:c>
      <x:c r="C13" s="66" t="str">
        <x:v>CURRENT</x:v>
      </x:c>
      <x:c r="D13" s="66" t="str">
        <x:v>/id/contact/</x:v>
      </x:c>
      <x:c r="E13" s="66" t="str">
        <x:v>/en/contact/</x:v>
      </x:c>
      <x:c r="F13" s="66" t="str">
        <x:v>EXISTS</x:v>
      </x:c>
      <x:c r="G13" s="66" t="n">
        <x:f>COUNTIFS('09_Page_Section_Mapping'!$B$5:$B$50,"CONTENT BLOCK",'09_Page_Section_Mapping'!$D$5:$D$50,B13)</x:f>
        <x:v>5</x:v>
      </x:c>
      <x:c r="H13" s="66" t="n">
        <x:f>COUNTIFS('09_Page_Section_Mapping'!$B$5:$B$50,"WEBSITE-ONLY",'09_Page_Section_Mapping'!$D$5:$D$50,B13)</x:f>
        <x:v>0</x:v>
      </x:c>
      <x:c r="I13" s="66" t="n">
        <x:f>COUNTIFS('09_Page_Section_Mapping'!$B$5:$B$50,"CONTENT BLOCK",'09_Page_Section_Mapping'!$D$5:$D$50,B13,'09_Page_Section_Mapping'!$U$5:$U$50,"READY FOR CONTENT APPROVAL")</x:f>
        <x:v>4</x:v>
      </x:c>
      <x:c r="J13" s="66" t="n">
        <x:f>G13-I13</x:f>
        <x:v>1</x:v>
      </x:c>
      <x:c r="K13" s="66" t="str">
        <x:f>IF(B13="GLOBAL","N/A",IF(COUNTIFS('09_Page_Section_Mapping'!$D$5:$D$50,B13,'09_Page_Section_Mapping'!$AB$5:$AB$50,"&lt;&gt;PASS – STRUCTURE")=0,"PASS","FAIL"))</x:f>
        <x:v>PASS</x:v>
      </x:c>
      <x:c r="L13" s="65" t="str">
        <x:v>PARTIAL – INLINE SUCCESS; ADDRESS/PRIVACY/LAUNCH CONTACT OPEN</x:v>
      </x:c>
      <x:c r="M13" s="66" t="str">
        <x:f>IF(B13="GLOBAL","SEE REGISTERS",IF(COUNTIFS('09_Page_Section_Mapping'!$D$5:$D$50,B13,'09_Page_Section_Mapping'!$O$5:$O$50,"")+COUNTIFS('09_Page_Section_Mapping'!$D$5:$D$50,B13,'09_Page_Section_Mapping'!$P$5:$P$50,"")=0,"PASS","FAIL"))</x:f>
        <x:v>PASS</x:v>
      </x:c>
      <x:c r="N13" s="66" t="str">
        <x:v>NOT REVIEWED / SEE MAPPING</x:v>
      </x:c>
      <x:c r="O13" s="66" t="str">
        <x:v>NOT REVIEWED</x:v>
      </x:c>
      <x:c r="P13" s="66" t="str">
        <x:v>NOT APPROVED</x:v>
      </x:c>
      <x:c r="Q13" s="65" t="str">
        <x:v>LEGAL/UI/ENV OPEN</x:v>
      </x:c>
      <x:c r="R13" s="65" t="str">
        <x:v>Implement thank-you pop-up, confirm launch channels/address/privacy, and configure production Resend/domain values.</x:v>
      </x:c>
      <x:c r="S13" s="66" t="str">
        <x:f>IF(OR(O13&lt;&gt;"APPROVED",P13&lt;&gt;"APPROVED"),"NOT CHECKABLE – REVIEW/APPROVAL PENDING",IF(OR(K13="FAIL",M13="FAIL"),"NOT CHECKABLE – MAPPING GAP","CHECKABLE"))</x:f>
        <x:v>NOT CHECKABLE – REVIEW/APPROVAL PENDING</x:v>
      </x:c>
      <x:c r="T13" s="66" t="str"/>
      <x:c r="U13" s="66" t="str"/>
    </x:row>
    <x:row r="14" ht="57" customHeight="1">
      <x:c r="A14" s="66" t="str">
        <x:v>MQA-10</x:v>
      </x:c>
      <x:c r="B14" s="66" t="str">
        <x:v>Service Details</x:v>
      </x:c>
      <x:c r="C14" s="66" t="str">
        <x:v>BACKLOG</x:v>
      </x:c>
      <x:c r="D14" s="66" t="str">
        <x:v>MISSING</x:v>
      </x:c>
      <x:c r="E14" s="66" t="str">
        <x:v>MISSING</x:v>
      </x:c>
      <x:c r="F14" s="66" t="str">
        <x:v>ROUTES MISSING</x:v>
      </x:c>
      <x:c r="G14" s="66" t="n">
        <x:f>COUNTIF('09_Page_Section_Mapping'!$C$5:$C$50,"SD1-001")+COUNTIF('09_Page_Section_Mapping'!$C$5:$C$50,"SD2-001")+COUNTIF('09_Page_Section_Mapping'!$C$5:$C$50,"SD3-001")+COUNTIF('09_Page_Section_Mapping'!$C$5:$C$50,"SD4-001")</x:f>
        <x:v>4</x:v>
      </x:c>
      <x:c r="H14" s="66" t="n">
        <x:f>0</x:f>
        <x:v>0</x:v>
      </x:c>
      <x:c r="I14" s="66" t="n">
        <x:f>COUNTIFS('09_Page_Section_Mapping'!$C$5:$C$50,"SD1-001",'09_Page_Section_Mapping'!$U$5:$U$50,"READY FOR CONTENT APPROVAL")+COUNTIFS('09_Page_Section_Mapping'!$C$5:$C$50,"SD2-001",'09_Page_Section_Mapping'!$U$5:$U$50,"READY FOR CONTENT APPROVAL")+COUNTIFS('09_Page_Section_Mapping'!$C$5:$C$50,"SD3-001",'09_Page_Section_Mapping'!$U$5:$U$50,"READY FOR CONTENT APPROVAL")+COUNTIFS('09_Page_Section_Mapping'!$C$5:$C$50,"SD4-001",'09_Page_Section_Mapping'!$U$5:$U$50,"READY FOR CONTENT APPROVAL")</x:f>
        <x:v>0</x:v>
      </x:c>
      <x:c r="J14" s="66" t="n">
        <x:f>G14-I14</x:f>
        <x:v>4</x:v>
      </x:c>
      <x:c r="K14" s="66" t="str">
        <x:f>IF(COUNTIFS('09_Page_Section_Mapping'!$C$5:$C$50,"SD1-001",'09_Page_Section_Mapping'!$AB$5:$AB$50,"&lt;&gt;PASS – STRUCTURE")+COUNTIFS('09_Page_Section_Mapping'!$C$5:$C$50,"SD2-001",'09_Page_Section_Mapping'!$AB$5:$AB$50,"&lt;&gt;PASS – STRUCTURE")+COUNTIFS('09_Page_Section_Mapping'!$C$5:$C$50,"SD3-001",'09_Page_Section_Mapping'!$AB$5:$AB$50,"&lt;&gt;PASS – STRUCTURE")+COUNTIFS('09_Page_Section_Mapping'!$C$5:$C$50,"SD4-001",'09_Page_Section_Mapping'!$AB$5:$AB$50,"&lt;&gt;PASS – STRUCTURE")=0,"PASS","FAIL")</x:f>
        <x:v>PASS</x:v>
      </x:c>
      <x:c r="L14" s="65" t="str">
        <x:v>NOT IMPLEMENTED</x:v>
      </x:c>
      <x:c r="M14" s="66" t="str">
        <x:f>IF(COUNTIFS('09_Page_Section_Mapping'!$C$5:$C$50,"SD1-001",'09_Page_Section_Mapping'!$O$5:$O$50,"")+COUNTIFS('09_Page_Section_Mapping'!$C$5:$C$50,"SD1-001",'09_Page_Section_Mapping'!$P$5:$P$50,"")+COUNTIFS('09_Page_Section_Mapping'!$C$5:$C$50,"SD2-001",'09_Page_Section_Mapping'!$O$5:$O$50,"")+COUNTIFS('09_Page_Section_Mapping'!$C$5:$C$50,"SD2-001",'09_Page_Section_Mapping'!$P$5:$P$50,"")+COUNTIFS('09_Page_Section_Mapping'!$C$5:$C$50,"SD3-001",'09_Page_Section_Mapping'!$O$5:$O$50,"")+COUNTIFS('09_Page_Section_Mapping'!$C$5:$C$50,"SD3-001",'09_Page_Section_Mapping'!$P$5:$P$50,"")+COUNTIFS('09_Page_Section_Mapping'!$C$5:$C$50,"SD4-001",'09_Page_Section_Mapping'!$O$5:$O$50,"")+COUNTIFS('09_Page_Section_Mapping'!$C$5:$C$50,"SD4-001",'09_Page_Section_Mapping'!$P$5:$P$50,"")=0,"PASS","FAIL")</x:f>
        <x:v>PASS</x:v>
      </x:c>
      <x:c r="N14" s="66" t="str">
        <x:v>NOT REVIEWED / SEE MAPPING</x:v>
      </x:c>
      <x:c r="O14" s="66" t="str">
        <x:v>NOT REVIEWED</x:v>
      </x:c>
      <x:c r="P14" s="66" t="str">
        <x:v>NOT APPROVED</x:v>
      </x:c>
      <x:c r="Q14" s="65" t="str">
        <x:v>BUSINESS SCOPE/COPY/WIREFRAME OPEN</x:v>
      </x:c>
      <x:c r="R14" s="65" t="str">
        <x:v>Do not implement until each category scope, exclusions, deliverables, reviewer model, and examples are approved.</x:v>
      </x:c>
      <x:c r="S14" s="66" t="str">
        <x:f>IF(OR(O14&lt;&gt;"APPROVED",P14&lt;&gt;"APPROVED"),"NOT CHECKABLE – REVIEW/APPROVAL PENDING",IF(OR(K14="FAIL",M14="FAIL"),"NOT CHECKABLE – MAPPING GAP","CHECKABLE"))</x:f>
        <x:v>NOT CHECKABLE – REVIEW/APPROVAL PENDING</x:v>
      </x:c>
      <x:c r="T14" s="66" t="str"/>
      <x:c r="U14" s="66" t="str"/>
    </x:row>
    <x:row r="15" ht="57" customHeight="1">
      <x:c r="A15" s="66" t="str">
        <x:v>MQA-11</x:v>
      </x:c>
      <x:c r="B15" s="66" t="str">
        <x:v>FAQ</x:v>
      </x:c>
      <x:c r="C15" s="66" t="str">
        <x:v>BACKLOG</x:v>
      </x:c>
      <x:c r="D15" s="66" t="str">
        <x:v>MISSING</x:v>
      </x:c>
      <x:c r="E15" s="66" t="str">
        <x:v>MISSING</x:v>
      </x:c>
      <x:c r="F15" s="66" t="str">
        <x:v>ROUTE MISSING</x:v>
      </x:c>
      <x:c r="G15" s="66" t="n">
        <x:f>COUNTIFS('09_Page_Section_Mapping'!$B$5:$B$50,"CONTENT BLOCK",'09_Page_Section_Mapping'!$D$5:$D$50,B15)</x:f>
        <x:v>1</x:v>
      </x:c>
      <x:c r="H15" s="66" t="n">
        <x:f>COUNTIFS('09_Page_Section_Mapping'!$B$5:$B$50,"WEBSITE-ONLY",'09_Page_Section_Mapping'!$D$5:$D$50,B15)</x:f>
        <x:v>0</x:v>
      </x:c>
      <x:c r="I15" s="66" t="n">
        <x:f>COUNTIFS('09_Page_Section_Mapping'!$B$5:$B$50,"CONTENT BLOCK",'09_Page_Section_Mapping'!$D$5:$D$50,B15,'09_Page_Section_Mapping'!$U$5:$U$50,"READY FOR CONTENT APPROVAL")</x:f>
        <x:v>0</x:v>
      </x:c>
      <x:c r="J15" s="66" t="n">
        <x:f>G15-I15</x:f>
        <x:v>1</x:v>
      </x:c>
      <x:c r="K15" s="66" t="str">
        <x:f>IF(B15="GLOBAL","N/A",IF(COUNTIFS('09_Page_Section_Mapping'!$D$5:$D$50,B15,'09_Page_Section_Mapping'!$AB$5:$AB$50,"&lt;&gt;PASS – STRUCTURE")=0,"PASS","FAIL"))</x:f>
        <x:v>PASS</x:v>
      </x:c>
      <x:c r="L15" s="65" t="str">
        <x:v>NOT IMPLEMENTED – ANSWERS MISSING</x:v>
      </x:c>
      <x:c r="M15" s="66" t="str">
        <x:f>IF(B15="GLOBAL","SEE REGISTERS",IF(COUNTIFS('09_Page_Section_Mapping'!$D$5:$D$50,B15,'09_Page_Section_Mapping'!$O$5:$O$50,"")+COUNTIFS('09_Page_Section_Mapping'!$D$5:$D$50,B15,'09_Page_Section_Mapping'!$P$5:$P$50,"")=0,"PASS","FAIL"))</x:f>
        <x:v>PASS</x:v>
      </x:c>
      <x:c r="N15" s="66" t="str">
        <x:v>NOT REVIEWED / SEE MAPPING</x:v>
      </x:c>
      <x:c r="O15" s="66" t="str">
        <x:v>NOT REVIEWED</x:v>
      </x:c>
      <x:c r="P15" s="66" t="str">
        <x:v>NOT APPROVED</x:v>
      </x:c>
      <x:c r="Q15" s="65" t="str">
        <x:v>LEGAL/OPERATIONAL REVIEW OPEN</x:v>
      </x:c>
      <x:c r="R15" s="65" t="str">
        <x:v>Draft and review answers before creating the route/component.</x:v>
      </x:c>
      <x:c r="S15" s="66" t="str">
        <x:f>IF(OR(O15&lt;&gt;"APPROVED",P15&lt;&gt;"APPROVED"),"NOT CHECKABLE – REVIEW/APPROVAL PENDING",IF(OR(K15="FAIL",M15="FAIL"),"NOT CHECKABLE – MAPPING GAP","CHECKABLE"))</x:f>
        <x:v>NOT CHECKABLE – REVIEW/APPROVAL PENDING</x:v>
      </x:c>
      <x:c r="T15" s="66" t="str"/>
      <x:c r="U15" s="66" t="str"/>
    </x:row>
    <x:row r="16" ht="57" customHeight="1">
      <x:c r="A16" s="66" t="str">
        <x:v>MQA-12</x:v>
      </x:c>
      <x:c r="B16" s="66" t="str">
        <x:v>Privacy Policy</x:v>
      </x:c>
      <x:c r="C16" s="66" t="str">
        <x:v>BACKLOG / LAUNCH BLOCKER</x:v>
      </x:c>
      <x:c r="D16" s="66" t="str">
        <x:v>MISSING</x:v>
      </x:c>
      <x:c r="E16" s="66" t="str">
        <x:v>MISSING</x:v>
      </x:c>
      <x:c r="F16" s="66" t="str">
        <x:v>ROUTE/CONTENT MISSING</x:v>
      </x:c>
      <x:c r="G16" s="66" t="n">
        <x:f>COUNTIFS('09_Page_Section_Mapping'!$B$5:$B$50,"CONTENT BLOCK",'09_Page_Section_Mapping'!$D$5:$D$50,B16)</x:f>
        <x:v>1</x:v>
      </x:c>
      <x:c r="H16" s="66" t="n">
        <x:f>COUNTIFS('09_Page_Section_Mapping'!$B$5:$B$50,"WEBSITE-ONLY",'09_Page_Section_Mapping'!$D$5:$D$50,B16)</x:f>
        <x:v>0</x:v>
      </x:c>
      <x:c r="I16" s="66" t="n">
        <x:f>COUNTIFS('09_Page_Section_Mapping'!$B$5:$B$50,"CONTENT BLOCK",'09_Page_Section_Mapping'!$D$5:$D$50,B16,'09_Page_Section_Mapping'!$U$5:$U$50,"READY FOR CONTENT APPROVAL")</x:f>
        <x:v>0</x:v>
      </x:c>
      <x:c r="J16" s="66" t="n">
        <x:f>G16-I16</x:f>
        <x:v>1</x:v>
      </x:c>
      <x:c r="K16" s="66" t="str">
        <x:f>IF(B16="GLOBAL","N/A",IF(COUNTIFS('09_Page_Section_Mapping'!$D$5:$D$50,B16,'09_Page_Section_Mapping'!$AB$5:$AB$50,"&lt;&gt;PASS – STRUCTURE")=0,"PASS","FAIL"))</x:f>
        <x:v>PASS</x:v>
      </x:c>
      <x:c r="L16" s="65" t="str">
        <x:v>NOT IMPLEMENTED – LAUNCH BLOCKER</x:v>
      </x:c>
      <x:c r="M16" s="66" t="str">
        <x:f>IF(B16="GLOBAL","SEE REGISTERS",IF(COUNTIFS('09_Page_Section_Mapping'!$D$5:$D$50,B16,'09_Page_Section_Mapping'!$O$5:$O$50,"")+COUNTIFS('09_Page_Section_Mapping'!$D$5:$D$50,B16,'09_Page_Section_Mapping'!$P$5:$P$50,"")=0,"PASS","FAIL"))</x:f>
        <x:v>PASS</x:v>
      </x:c>
      <x:c r="N16" s="66" t="str">
        <x:v>NOT REVIEWED / SEE MAPPING</x:v>
      </x:c>
      <x:c r="O16" s="66" t="str">
        <x:v>NOT REVIEWED</x:v>
      </x:c>
      <x:c r="P16" s="66" t="str">
        <x:v>NOT APPROVED</x:v>
      </x:c>
      <x:c r="Q16" s="65" t="str">
        <x:v>DATA-FLOW/LEGAL APPROVAL OPEN</x:v>
      </x:c>
      <x:c r="R16" s="65" t="str">
        <x:v>Confirm actual data flow and obtain approved policy before public launch.</x:v>
      </x:c>
      <x:c r="S16" s="66" t="str">
        <x:f>IF(OR(O16&lt;&gt;"APPROVED",P16&lt;&gt;"APPROVED"),"NOT CHECKABLE – REVIEW/APPROVAL PENDING",IF(OR(K16="FAIL",M16="FAIL"),"NOT CHECKABLE – MAPPING GAP","CHECKABLE"))</x:f>
        <x:v>NOT CHECKABLE – REVIEW/APPROVAL PENDING</x:v>
      </x:c>
      <x:c r="T16" s="66" t="str"/>
      <x:c r="U16" s="66" t="str"/>
    </x:row>
    <x:row r="17" ht="57" customHeight="1">
      <x:c r="A17" s="66" t="str">
        <x:v>MQA-13</x:v>
      </x:c>
      <x:c r="B17" s="66" t="str">
        <x:v>Terms &amp; Disclaimer</x:v>
      </x:c>
      <x:c r="C17" s="66" t="str">
        <x:v>BACKLOG / LAUNCH BLOCKER</x:v>
      </x:c>
      <x:c r="D17" s="66" t="str">
        <x:v>MISSING</x:v>
      </x:c>
      <x:c r="E17" s="66" t="str">
        <x:v>MISSING</x:v>
      </x:c>
      <x:c r="F17" s="66" t="str">
        <x:v>ROUTE/CONTENT MISSING</x:v>
      </x:c>
      <x:c r="G17" s="66" t="n">
        <x:f>COUNTIFS('09_Page_Section_Mapping'!$B$5:$B$50,"CONTENT BLOCK",'09_Page_Section_Mapping'!$D$5:$D$50,B17)</x:f>
        <x:v>1</x:v>
      </x:c>
      <x:c r="H17" s="66" t="n">
        <x:f>COUNTIFS('09_Page_Section_Mapping'!$B$5:$B$50,"WEBSITE-ONLY",'09_Page_Section_Mapping'!$D$5:$D$50,B17)</x:f>
        <x:v>0</x:v>
      </x:c>
      <x:c r="I17" s="66" t="n">
        <x:f>COUNTIFS('09_Page_Section_Mapping'!$B$5:$B$50,"CONTENT BLOCK",'09_Page_Section_Mapping'!$D$5:$D$50,B17,'09_Page_Section_Mapping'!$U$5:$U$50,"READY FOR CONTENT APPROVAL")</x:f>
        <x:v>0</x:v>
      </x:c>
      <x:c r="J17" s="66" t="n">
        <x:f>G17-I17</x:f>
        <x:v>1</x:v>
      </x:c>
      <x:c r="K17" s="66" t="str">
        <x:f>IF(B17="GLOBAL","N/A",IF(COUNTIFS('09_Page_Section_Mapping'!$D$5:$D$50,B17,'09_Page_Section_Mapping'!$AB$5:$AB$50,"&lt;&gt;PASS – STRUCTURE")=0,"PASS","FAIL"))</x:f>
        <x:v>PASS</x:v>
      </x:c>
      <x:c r="L17" s="65" t="str">
        <x:v>NOT IMPLEMENTED – LAUNCH BLOCKER</x:v>
      </x:c>
      <x:c r="M17" s="66" t="str">
        <x:f>IF(B17="GLOBAL","SEE REGISTERS",IF(COUNTIFS('09_Page_Section_Mapping'!$D$5:$D$50,B17,'09_Page_Section_Mapping'!$O$5:$O$50,"")+COUNTIFS('09_Page_Section_Mapping'!$D$5:$D$50,B17,'09_Page_Section_Mapping'!$P$5:$P$50,"")=0,"PASS","FAIL"))</x:f>
        <x:v>PASS</x:v>
      </x:c>
      <x:c r="N17" s="66" t="str">
        <x:v>NOT REVIEWED / SEE MAPPING</x:v>
      </x:c>
      <x:c r="O17" s="66" t="str">
        <x:v>NOT REVIEWED</x:v>
      </x:c>
      <x:c r="P17" s="66" t="str">
        <x:v>NOT APPROVED</x:v>
      </x:c>
      <x:c r="Q17" s="65" t="str">
        <x:v>LEGAL DRAFT/APPROVAL OPEN</x:v>
      </x:c>
      <x:c r="R17" s="65" t="str">
        <x:v>Obtain approved terms/disclaimer before public launch.</x:v>
      </x:c>
      <x:c r="S17" s="66" t="str">
        <x:f>IF(OR(O17&lt;&gt;"APPROVED",P17&lt;&gt;"APPROVED"),"NOT CHECKABLE – REVIEW/APPROVAL PENDING",IF(OR(K17="FAIL",M17="FAIL"),"NOT CHECKABLE – MAPPING GAP","CHECKABLE"))</x:f>
        <x:v>NOT CHECKABLE – REVIEW/APPROVAL PENDING</x:v>
      </x:c>
      <x:c r="T17" s="66" t="str"/>
      <x:c r="U17" s="66" t="str"/>
    </x:row>
    <x:row r="18">
      <x:c r="A18" s="48"/>
      <x:c r="B18" s="48"/>
      <x:c r="C18" s="48"/>
      <x:c r="D18" s="48"/>
      <x:c r="E18" s="48"/>
      <x:c r="F18" s="48"/>
      <x:c r="G18" s="48"/>
      <x:c r="H18" s="48"/>
      <x:c r="I18" s="48"/>
      <x:c r="J18" s="48"/>
      <x:c r="K18" s="48"/>
      <x:c r="L18" s="48"/>
      <x:c r="M18" s="48"/>
      <x:c r="N18" s="48"/>
      <x:c r="O18" s="48"/>
      <x:c r="P18" s="48"/>
      <x:c r="Q18" s="48"/>
      <x:c r="R18" s="48"/>
      <x:c r="S18" s="48"/>
      <x:c r="T18" s="48"/>
      <x:c r="U18" s="48"/>
    </x:row>
    <x:row r="19">
      <x:c r="A19" s="48"/>
      <x:c r="B19" s="48"/>
      <x:c r="C19" s="48"/>
      <x:c r="D19" s="48"/>
      <x:c r="E19" s="48"/>
      <x:c r="F19" s="48"/>
      <x:c r="G19" s="48"/>
      <x:c r="H19" s="48"/>
      <x:c r="I19" s="48"/>
      <x:c r="J19" s="48"/>
      <x:c r="K19" s="48"/>
      <x:c r="L19" s="48"/>
      <x:c r="M19" s="48"/>
      <x:c r="N19" s="48"/>
      <x:c r="O19" s="48"/>
      <x:c r="P19" s="48"/>
      <x:c r="Q19" s="48"/>
      <x:c r="R19" s="48"/>
      <x:c r="S19" s="48"/>
      <x:c r="T19" s="48"/>
      <x:c r="U19" s="48"/>
    </x:row>
    <x:row r="20">
      <x:c r="A20" s="69" t="str">
        <x:v>MAPPING SUMMARY</x:v>
      </x:c>
      <x:c r="B20" s="69"/>
      <x:c r="C20" s="69"/>
      <x:c r="D20" s="69"/>
      <x:c r="E20" s="69"/>
      <x:c r="F20" s="69"/>
      <x:c r="G20" s="48"/>
      <x:c r="H20" s="48"/>
      <x:c r="I20" s="48"/>
      <x:c r="J20" s="76" t="str">
        <x:v>STATUS DEFINITIONS</x:v>
      </x:c>
      <x:c r="K20" s="76"/>
      <x:c r="L20" s="76"/>
      <x:c r="M20" s="76"/>
      <x:c r="N20" s="76"/>
      <x:c r="O20" s="76"/>
      <x:c r="P20" s="76"/>
      <x:c r="Q20" s="76"/>
      <x:c r="R20" s="76"/>
      <x:c r="S20" s="76"/>
      <x:c r="T20" s="76"/>
      <x:c r="U20" s="76"/>
    </x:row>
    <x:row r="21">
      <x:c r="A21" s="72" t="str">
        <x:v>Total mapping rows</x:v>
      </x:c>
      <x:c r="B21" s="75" t="n">
        <x:f>COUNTA('09_Page_Section_Mapping'!$A$5:$A$50)</x:f>
        <x:v>46</x:v>
      </x:c>
      <x:c r="C21" s="48"/>
      <x:c r="D21" s="48"/>
      <x:c r="E21" s="48"/>
      <x:c r="F21" s="48"/>
      <x:c r="G21" s="48"/>
      <x:c r="H21" s="48"/>
      <x:c r="I21" s="48"/>
      <x:c r="J21" s="77" t="str">
        <x:v>DRAFT MAPPING – READY FOR UI/UX REVIEW</x:v>
      </x:c>
      <x:c r="K21" s="77"/>
      <x:c r="L21" s="77"/>
      <x:c r="M21" s="77"/>
      <x:c r="N21" s="72" t="str">
        <x:v>Structure is mapped, but reviewer sign-off has not occurred.</x:v>
      </x:c>
      <x:c r="O21" s="72"/>
      <x:c r="P21" s="72"/>
      <x:c r="Q21" s="72"/>
      <x:c r="R21" s="72"/>
      <x:c r="S21" s="72"/>
      <x:c r="T21" s="72"/>
      <x:c r="U21" s="72"/>
    </x:row>
    <x:row r="22">
      <x:c r="A22" s="72" t="str">
        <x:v>Aligned content blocks</x:v>
      </x:c>
      <x:c r="B22" s="75" t="n">
        <x:f>COUNTIF('09_Page_Section_Mapping'!$B$5:$B$50,"CONTENT BLOCK")</x:f>
        <x:v>44</x:v>
      </x:c>
      <x:c r="C22" s="48"/>
      <x:c r="D22" s="48"/>
      <x:c r="E22" s="48"/>
      <x:c r="F22" s="48"/>
      <x:c r="G22" s="48"/>
      <x:c r="H22" s="48"/>
      <x:c r="I22" s="48"/>
      <x:c r="J22" s="77" t="str">
        <x:v>DRAFT MAPPING – GAP OPEN</x:v>
      </x:c>
      <x:c r="K22" s="77"/>
      <x:c r="L22" s="77"/>
      <x:c r="M22" s="77"/>
      <x:c r="N22" s="72" t="str">
        <x:v>A section/route/structure mismatch remains open.</x:v>
      </x:c>
      <x:c r="O22" s="72"/>
      <x:c r="P22" s="72"/>
      <x:c r="Q22" s="72"/>
      <x:c r="R22" s="72"/>
      <x:c r="S22" s="72"/>
      <x:c r="T22" s="72"/>
      <x:c r="U22" s="72"/>
    </x:row>
    <x:row r="23">
      <x:c r="A23" s="72" t="str">
        <x:v>Website-only prototype sections</x:v>
      </x:c>
      <x:c r="B23" s="75" t="n">
        <x:f>COUNTIF('09_Page_Section_Mapping'!$B$5:$B$50,"WEBSITE-ONLY")</x:f>
        <x:v>2</x:v>
      </x:c>
      <x:c r="C23" s="48"/>
      <x:c r="D23" s="48"/>
      <x:c r="E23" s="48"/>
      <x:c r="F23" s="48"/>
      <x:c r="G23" s="48"/>
      <x:c r="H23" s="48"/>
      <x:c r="I23" s="48"/>
      <x:c r="J23" s="77" t="str">
        <x:v>BLOCKED – COPY/DEPENDENCY</x:v>
      </x:c>
      <x:c r="K23" s="77"/>
      <x:c r="L23" s="77"/>
      <x:c r="M23" s="77"/>
      <x:c r="N23" s="72" t="str">
        <x:v>Copy, evidence, consent, policy, or business dependency is unresolved.</x:v>
      </x:c>
      <x:c r="O23" s="72"/>
      <x:c r="P23" s="72"/>
      <x:c r="Q23" s="72"/>
      <x:c r="R23" s="72"/>
      <x:c r="S23" s="72"/>
      <x:c r="T23" s="72"/>
      <x:c r="U23" s="72"/>
    </x:row>
    <x:row r="24">
      <x:c r="A24" s="72" t="str">
        <x:v>Copy-ready blocks</x:v>
      </x:c>
      <x:c r="B24" s="75" t="n">
        <x:f>COUNTIF('09_Page_Section_Mapping'!$U$5:$U$50,"READY FOR CONTENT APPROVAL")</x:f>
        <x:v>29</x:v>
      </x:c>
      <x:c r="C24" s="48"/>
      <x:c r="D24" s="48"/>
      <x:c r="E24" s="48"/>
      <x:c r="F24" s="48"/>
      <x:c r="G24" s="48"/>
      <x:c r="H24" s="48"/>
      <x:c r="I24" s="48"/>
      <x:c r="J24" s="77" t="str">
        <x:v>OPEN – DOCUMENT DECISION REQUIRED</x:v>
      </x:c>
      <x:c r="K24" s="77"/>
      <x:c r="L24" s="77"/>
      <x:c r="M24" s="77"/>
      <x:c r="N24" s="72" t="str">
        <x:v>The website contains a section that the 44-block content sheet does not.</x:v>
      </x:c>
      <x:c r="O24" s="72"/>
      <x:c r="P24" s="72"/>
      <x:c r="Q24" s="72"/>
      <x:c r="R24" s="72"/>
      <x:c r="S24" s="72"/>
      <x:c r="T24" s="72"/>
      <x:c r="U24" s="72"/>
    </x:row>
    <x:row r="25">
      <x:c r="A25" s="72" t="str">
        <x:v>Final MAPPED rows</x:v>
      </x:c>
      <x:c r="B25" s="75" t="n">
        <x:f>COUNTIF('09_Page_Section_Mapping'!$AC$5:$AC$50,"MAPPED")</x:f>
        <x:v>0</x:v>
      </x:c>
      <x:c r="C25" s="48"/>
      <x:c r="D25" s="48"/>
      <x:c r="E25" s="48"/>
      <x:c r="F25" s="48"/>
      <x:c r="G25" s="48"/>
      <x:c r="H25" s="48"/>
      <x:c r="I25" s="48"/>
      <x:c r="J25" s="77" t="str">
        <x:v>MAPPED</x:v>
      </x:c>
      <x:c r="K25" s="77"/>
      <x:c r="L25" s="77"/>
      <x:c r="M25" s="77"/>
      <x:c r="N25" s="72" t="str">
        <x:v>Reserved for future use only after copy approval, UI/UX approval, reviewer and date are complete.</x:v>
      </x:c>
      <x:c r="O25" s="72"/>
      <x:c r="P25" s="72"/>
      <x:c r="Q25" s="72"/>
      <x:c r="R25" s="72"/>
      <x:c r="S25" s="72"/>
      <x:c r="T25" s="72"/>
      <x:c r="U25" s="72"/>
    </x:row>
    <x:row r="26">
      <x:c r="A26" s="72" t="str">
        <x:v>UI/UX approved page rows</x:v>
      </x:c>
      <x:c r="B26" s="75" t="n">
        <x:f>COUNTIF($O$5:$O$17,"APPROVED")</x:f>
        <x:v>0</x:v>
      </x:c>
      <x:c r="C26" s="48"/>
      <x:c r="D26" s="48"/>
      <x:c r="E26" s="48"/>
      <x:c r="F26" s="48"/>
      <x:c r="G26" s="48"/>
      <x:c r="H26" s="48"/>
      <x:c r="I26" s="48"/>
      <x:c r="J26" s="48"/>
      <x:c r="K26" s="48"/>
      <x:c r="L26" s="48"/>
      <x:c r="M26" s="48"/>
      <x:c r="N26" s="48"/>
      <x:c r="O26" s="48"/>
      <x:c r="P26" s="48"/>
      <x:c r="Q26" s="48"/>
      <x:c r="R26" s="48"/>
      <x:c r="S26" s="48"/>
      <x:c r="T26" s="48"/>
      <x:c r="U26" s="48"/>
    </x:row>
    <x:row r="27">
      <x:c r="A27"/>
      <x:c r="B27"/>
      <x:c r="C27"/>
      <x:c r="D27"/>
      <x:c r="E27"/>
      <x:c r="F27"/>
      <x:c r="G27"/>
      <x:c r="H27"/>
      <x:c r="I27"/>
      <x:c r="J27"/>
      <x:c r="K27"/>
      <x:c r="L27"/>
      <x:c r="M27"/>
      <x:c r="N27"/>
      <x:c r="O27"/>
      <x:c r="P27"/>
      <x:c r="Q27"/>
      <x:c r="R27"/>
      <x:c r="S27"/>
      <x:c r="T27"/>
      <x:c r="U27"/>
    </x:row>
    <x:row r="28">
      <x:c r="A28"/>
      <x:c r="B28"/>
      <x:c r="C28"/>
      <x:c r="D28"/>
      <x:c r="E28"/>
      <x:c r="F28"/>
      <x:c r="G28"/>
      <x:c r="H28"/>
      <x:c r="I28"/>
      <x:c r="J28"/>
      <x:c r="K28"/>
      <x:c r="L28"/>
      <x:c r="M28"/>
      <x:c r="N28"/>
      <x:c r="O28"/>
      <x:c r="P28"/>
      <x:c r="Q28"/>
      <x:c r="R28"/>
      <x:c r="S28"/>
      <x:c r="T28"/>
      <x:c r="U28"/>
    </x:row>
    <x:row r="29">
      <x:c r="A29"/>
      <x:c r="B29"/>
      <x:c r="C29"/>
      <x:c r="D29"/>
      <x:c r="E29"/>
      <x:c r="F29"/>
      <x:c r="G29"/>
      <x:c r="H29"/>
      <x:c r="I29"/>
      <x:c r="J29"/>
      <x:c r="K29"/>
      <x:c r="L29"/>
      <x:c r="M29"/>
      <x:c r="N29"/>
      <x:c r="O29"/>
      <x:c r="P29"/>
      <x:c r="Q29"/>
      <x:c r="R29"/>
      <x:c r="S29"/>
      <x:c r="T29"/>
      <x:c r="U29"/>
    </x:row>
    <x:row r="30">
      <x:c r="A30"/>
      <x:c r="B30"/>
      <x:c r="C30"/>
      <x:c r="D30"/>
      <x:c r="E30"/>
      <x:c r="F30"/>
      <x:c r="G30"/>
      <x:c r="H30"/>
      <x:c r="I30"/>
      <x:c r="J30"/>
      <x:c r="K30"/>
      <x:c r="L30"/>
      <x:c r="M30"/>
      <x:c r="N30"/>
      <x:c r="O30"/>
      <x:c r="P30"/>
      <x:c r="Q30"/>
      <x:c r="R30"/>
      <x:c r="S30"/>
      <x:c r="T30"/>
      <x:c r="U30"/>
    </x:row>
  </x:sheetData>
  <x:mergeCells>
    <x:mergeCell ref="A1:U1"/>
    <x:mergeCell ref="A20:F20"/>
    <x:mergeCell ref="J20:U20"/>
    <x:mergeCell ref="J21:M21"/>
    <x:mergeCell ref="N21:U21"/>
    <x:mergeCell ref="J22:M22"/>
    <x:mergeCell ref="N22:U22"/>
    <x:mergeCell ref="J23:M23"/>
    <x:mergeCell ref="N23:U23"/>
    <x:mergeCell ref="J24:M24"/>
    <x:mergeCell ref="N24:U24"/>
    <x:mergeCell ref="J25:M25"/>
    <x:mergeCell ref="N25:U25"/>
  </x:mergeCells>
  <x:conditionalFormatting sqref="K5:K17">
    <x:cfRule type="containsText" dxfId="35" priority="1" operator="containsText" text="PASS"/>
  </x:conditionalFormatting>
  <x:conditionalFormatting sqref="L5:L17">
    <x:cfRule type="containsText" dxfId="36" priority="2" operator="containsText" text="NOT IMPLEMENTED"/>
    <x:cfRule type="containsText" dxfId="37" priority="3" operator="containsText" text="PARTIAL"/>
  </x:conditionalFormatting>
  <x:conditionalFormatting sqref="S5:S17">
    <x:cfRule type="containsText" dxfId="38" priority="4" operator="containsText" text="NOT CHECKABLE"/>
  </x:conditionalFormatting>
  <x:dataValidations count="2">
    <x:dataValidation type="list" sqref="O5:O17">
      <x:formula1>"NOT REVIEWED,IN REVIEW,CHANGES REQUIRED,APPROVED"</x:formula1>
    </x:dataValidation>
    <x:dataValidation type="list" sqref="P5:P17">
      <x:formula1>"NOT APPROVED,PENDING APPROVAL,APPROVED,REMOVED FROM LAUNCH"</x:formula1>
    </x:dataValidation>
  </x:dataValidations>
  <x:pageMargins left="0.7" right="0.7" top="0.75" bottom="0.75" header="0.3" footer="0.3"/>
  <x:tableParts count="1">
    <x:tablePart xmlns:r="http://schemas.openxmlformats.org/officeDocument/2006/relationships" r:id="R14d4d86c093d4789"/>
  </x:tableParts>
</x:worksheet>
</file>